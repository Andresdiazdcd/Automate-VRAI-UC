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bsaa\OneDrive\Escritorio\"/>
    </mc:Choice>
  </mc:AlternateContent>
  <xr:revisionPtr revIDLastSave="0" documentId="13_ncr:1_{190CF77E-1235-403B-95B8-C2ACCE11DD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SOS" sheetId="4" r:id="rId1"/>
    <sheet name="VACANTES" sheetId="5" state="hidden" r:id="rId2"/>
    <sheet name="Hoja1" sheetId="6" state="hidden" r:id="rId3"/>
  </sheets>
  <definedNames>
    <definedName name="_xlnm._FilterDatabase" localSheetId="0" hidden="1">CURSOS!$B$11:$I$91</definedName>
    <definedName name="_xlnm.Print_Area" localSheetId="0">CURSOS!$A$1:$Q$404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3" i="4" l="1"/>
  <c r="C374" i="4" s="1"/>
  <c r="C376" i="4" l="1"/>
  <c r="C377" i="4" s="1"/>
  <c r="C378" i="4" s="1"/>
  <c r="C379" i="4" s="1"/>
  <c r="C380" i="4" s="1"/>
  <c r="C381" i="4" s="1"/>
  <c r="C382" i="4" s="1"/>
  <c r="C383" i="4" s="1"/>
  <c r="G201" i="6" l="1"/>
  <c r="N200" i="6"/>
  <c r="M200" i="6"/>
  <c r="K200" i="6"/>
  <c r="J200" i="6"/>
  <c r="I200" i="6"/>
  <c r="H200" i="6"/>
  <c r="G200" i="6"/>
  <c r="E200" i="6"/>
  <c r="D200" i="6"/>
  <c r="C200" i="6"/>
  <c r="B200" i="6"/>
  <c r="A200" i="6"/>
  <c r="N199" i="6"/>
  <c r="M199" i="6"/>
  <c r="O199" i="6" s="1"/>
  <c r="O200" i="6" s="1"/>
  <c r="K199" i="6"/>
  <c r="J199" i="6"/>
  <c r="I199" i="6"/>
  <c r="H199" i="6"/>
  <c r="G199" i="6"/>
  <c r="E199" i="6"/>
  <c r="D199" i="6"/>
  <c r="C199" i="6"/>
  <c r="B199" i="6"/>
  <c r="A199" i="6"/>
  <c r="N198" i="6"/>
  <c r="M198" i="6"/>
  <c r="O187" i="6"/>
  <c r="N187" i="6"/>
  <c r="M187" i="6"/>
  <c r="P187" i="6" s="1"/>
  <c r="J187" i="6"/>
  <c r="H187" i="6"/>
  <c r="E187" i="6"/>
  <c r="D187" i="6"/>
  <c r="C187" i="6"/>
  <c r="B187" i="6"/>
  <c r="A187" i="6"/>
  <c r="O186" i="6"/>
  <c r="N186" i="6"/>
  <c r="M186" i="6"/>
  <c r="P186" i="6" s="1"/>
  <c r="J186" i="6"/>
  <c r="H186" i="6"/>
  <c r="E186" i="6"/>
  <c r="D186" i="6"/>
  <c r="C186" i="6"/>
  <c r="B186" i="6"/>
  <c r="A186" i="6"/>
  <c r="O185" i="6"/>
  <c r="N185" i="6"/>
  <c r="M185" i="6"/>
  <c r="P185" i="6" s="1"/>
  <c r="J185" i="6"/>
  <c r="H185" i="6"/>
  <c r="E185" i="6"/>
  <c r="D185" i="6"/>
  <c r="C185" i="6"/>
  <c r="B185" i="6"/>
  <c r="A185" i="6"/>
  <c r="O184" i="6"/>
  <c r="N184" i="6"/>
  <c r="M184" i="6"/>
  <c r="J184" i="6"/>
  <c r="H184" i="6"/>
  <c r="E184" i="6"/>
  <c r="D184" i="6"/>
  <c r="C184" i="6"/>
  <c r="B184" i="6"/>
  <c r="A184" i="6"/>
  <c r="O183" i="6"/>
  <c r="N183" i="6"/>
  <c r="M183" i="6"/>
  <c r="J183" i="6"/>
  <c r="H183" i="6"/>
  <c r="E183" i="6"/>
  <c r="D183" i="6"/>
  <c r="C183" i="6"/>
  <c r="B183" i="6"/>
  <c r="A183" i="6"/>
  <c r="O182" i="6"/>
  <c r="N182" i="6"/>
  <c r="M182" i="6"/>
  <c r="J182" i="6"/>
  <c r="H182" i="6"/>
  <c r="E182" i="6"/>
  <c r="D182" i="6"/>
  <c r="C182" i="6"/>
  <c r="B182" i="6"/>
  <c r="A182" i="6"/>
  <c r="O181" i="6"/>
  <c r="N181" i="6"/>
  <c r="M181" i="6"/>
  <c r="K181" i="6"/>
  <c r="J181" i="6"/>
  <c r="I181" i="6"/>
  <c r="H181" i="6"/>
  <c r="E181" i="6"/>
  <c r="D181" i="6"/>
  <c r="C181" i="6"/>
  <c r="B181" i="6"/>
  <c r="A181" i="6"/>
  <c r="P180" i="6"/>
  <c r="O180" i="6"/>
  <c r="N180" i="6"/>
  <c r="M180" i="6"/>
  <c r="K180" i="6"/>
  <c r="J180" i="6"/>
  <c r="I180" i="6"/>
  <c r="H180" i="6"/>
  <c r="E180" i="6"/>
  <c r="D180" i="6"/>
  <c r="C180" i="6"/>
  <c r="B180" i="6"/>
  <c r="A180" i="6"/>
  <c r="O179" i="6"/>
  <c r="N179" i="6"/>
  <c r="M179" i="6"/>
  <c r="K179" i="6"/>
  <c r="J179" i="6"/>
  <c r="I179" i="6"/>
  <c r="H179" i="6"/>
  <c r="E179" i="6"/>
  <c r="D179" i="6"/>
  <c r="C179" i="6"/>
  <c r="B179" i="6"/>
  <c r="A179" i="6"/>
  <c r="O178" i="6"/>
  <c r="P178" i="6" s="1"/>
  <c r="N178" i="6"/>
  <c r="M178" i="6"/>
  <c r="K178" i="6"/>
  <c r="J178" i="6"/>
  <c r="I178" i="6"/>
  <c r="H178" i="6"/>
  <c r="E178" i="6"/>
  <c r="D178" i="6"/>
  <c r="C178" i="6"/>
  <c r="B178" i="6"/>
  <c r="A178" i="6"/>
  <c r="O177" i="6"/>
  <c r="N177" i="6"/>
  <c r="M177" i="6"/>
  <c r="J177" i="6"/>
  <c r="H177" i="6"/>
  <c r="E177" i="6"/>
  <c r="D177" i="6"/>
  <c r="C177" i="6"/>
  <c r="B177" i="6"/>
  <c r="A177" i="6"/>
  <c r="O176" i="6"/>
  <c r="N176" i="6"/>
  <c r="M176" i="6"/>
  <c r="J176" i="6"/>
  <c r="H176" i="6"/>
  <c r="E176" i="6"/>
  <c r="D176" i="6"/>
  <c r="C176" i="6"/>
  <c r="B176" i="6"/>
  <c r="A176" i="6"/>
  <c r="R175" i="6"/>
  <c r="O175" i="6"/>
  <c r="N175" i="6"/>
  <c r="G173" i="6"/>
  <c r="E170" i="6"/>
  <c r="D170" i="6"/>
  <c r="C170" i="6"/>
  <c r="B170" i="6"/>
  <c r="A170" i="6"/>
  <c r="Q169" i="6"/>
  <c r="P169" i="6"/>
  <c r="O169" i="6"/>
  <c r="N169" i="6"/>
  <c r="M169" i="6"/>
  <c r="K169" i="6"/>
  <c r="J169" i="6"/>
  <c r="I169" i="6"/>
  <c r="H169" i="6"/>
  <c r="E169" i="6"/>
  <c r="D169" i="6"/>
  <c r="G169" i="6" s="1"/>
  <c r="C169" i="6"/>
  <c r="B169" i="6"/>
  <c r="A169" i="6"/>
  <c r="Q168" i="6"/>
  <c r="P168" i="6"/>
  <c r="O168" i="6"/>
  <c r="N168" i="6"/>
  <c r="M168" i="6"/>
  <c r="K168" i="6"/>
  <c r="J168" i="6"/>
  <c r="I168" i="6"/>
  <c r="H168" i="6"/>
  <c r="E168" i="6"/>
  <c r="D168" i="6"/>
  <c r="G168" i="6" s="1"/>
  <c r="C168" i="6"/>
  <c r="B168" i="6"/>
  <c r="A168" i="6"/>
  <c r="Q167" i="6"/>
  <c r="P167" i="6"/>
  <c r="O167" i="6"/>
  <c r="N167" i="6"/>
  <c r="M167" i="6"/>
  <c r="K167" i="6"/>
  <c r="J167" i="6"/>
  <c r="I167" i="6"/>
  <c r="H167" i="6"/>
  <c r="E167" i="6"/>
  <c r="D167" i="6"/>
  <c r="G167" i="6" s="1"/>
  <c r="C167" i="6"/>
  <c r="B167" i="6"/>
  <c r="A167" i="6"/>
  <c r="Q166" i="6"/>
  <c r="P166" i="6"/>
  <c r="O166" i="6"/>
  <c r="N166" i="6"/>
  <c r="M166" i="6"/>
  <c r="K166" i="6"/>
  <c r="J166" i="6"/>
  <c r="I166" i="6"/>
  <c r="H166" i="6"/>
  <c r="E166" i="6"/>
  <c r="D166" i="6"/>
  <c r="G166" i="6" s="1"/>
  <c r="C166" i="6"/>
  <c r="B166" i="6"/>
  <c r="A166" i="6"/>
  <c r="Q165" i="6"/>
  <c r="P165" i="6"/>
  <c r="O165" i="6"/>
  <c r="N165" i="6"/>
  <c r="M165" i="6"/>
  <c r="K165" i="6"/>
  <c r="J165" i="6"/>
  <c r="I165" i="6"/>
  <c r="H165" i="6"/>
  <c r="G165" i="6"/>
  <c r="E165" i="6"/>
  <c r="D165" i="6"/>
  <c r="C165" i="6"/>
  <c r="B165" i="6"/>
  <c r="A165" i="6"/>
  <c r="Q164" i="6"/>
  <c r="P164" i="6"/>
  <c r="O164" i="6"/>
  <c r="N164" i="6"/>
  <c r="M164" i="6"/>
  <c r="K164" i="6"/>
  <c r="J164" i="6"/>
  <c r="I164" i="6"/>
  <c r="H164" i="6"/>
  <c r="F164" i="6"/>
  <c r="E164" i="6"/>
  <c r="D164" i="6"/>
  <c r="G164" i="6" s="1"/>
  <c r="C164" i="6"/>
  <c r="B164" i="6"/>
  <c r="A164" i="6"/>
  <c r="Q163" i="6"/>
  <c r="P163" i="6"/>
  <c r="O163" i="6"/>
  <c r="N163" i="6"/>
  <c r="M163" i="6"/>
  <c r="K163" i="6"/>
  <c r="J163" i="6"/>
  <c r="I163" i="6"/>
  <c r="H163" i="6"/>
  <c r="G163" i="6"/>
  <c r="E163" i="6"/>
  <c r="D163" i="6"/>
  <c r="C163" i="6"/>
  <c r="B163" i="6"/>
  <c r="A163" i="6"/>
  <c r="Q162" i="6"/>
  <c r="P162" i="6"/>
  <c r="O162" i="6"/>
  <c r="N162" i="6"/>
  <c r="M162" i="6"/>
  <c r="K162" i="6"/>
  <c r="J162" i="6"/>
  <c r="I162" i="6"/>
  <c r="H162" i="6"/>
  <c r="F162" i="6"/>
  <c r="E162" i="6"/>
  <c r="D162" i="6"/>
  <c r="G162" i="6" s="1"/>
  <c r="C162" i="6"/>
  <c r="B162" i="6"/>
  <c r="A162" i="6"/>
  <c r="Q161" i="6"/>
  <c r="P161" i="6"/>
  <c r="O161" i="6"/>
  <c r="N161" i="6"/>
  <c r="M161" i="6"/>
  <c r="K161" i="6"/>
  <c r="J161" i="6"/>
  <c r="I161" i="6"/>
  <c r="H161" i="6"/>
  <c r="F161" i="6"/>
  <c r="E161" i="6"/>
  <c r="D161" i="6"/>
  <c r="G161" i="6" s="1"/>
  <c r="C161" i="6"/>
  <c r="B161" i="6"/>
  <c r="A161" i="6"/>
  <c r="Q160" i="6"/>
  <c r="P160" i="6"/>
  <c r="O160" i="6"/>
  <c r="N160" i="6"/>
  <c r="M160" i="6"/>
  <c r="K160" i="6"/>
  <c r="J160" i="6"/>
  <c r="I160" i="6"/>
  <c r="H160" i="6"/>
  <c r="E160" i="6"/>
  <c r="D160" i="6"/>
  <c r="G160" i="6" s="1"/>
  <c r="C160" i="6"/>
  <c r="B160" i="6"/>
  <c r="A160" i="6"/>
  <c r="Q159" i="6"/>
  <c r="P159" i="6"/>
  <c r="O159" i="6"/>
  <c r="N159" i="6"/>
  <c r="M159" i="6"/>
  <c r="K159" i="6"/>
  <c r="J159" i="6"/>
  <c r="I159" i="6"/>
  <c r="H159" i="6"/>
  <c r="E159" i="6"/>
  <c r="D159" i="6"/>
  <c r="G159" i="6" s="1"/>
  <c r="C159" i="6"/>
  <c r="B159" i="6"/>
  <c r="A159" i="6"/>
  <c r="S158" i="6"/>
  <c r="Q158" i="6"/>
  <c r="P158" i="6"/>
  <c r="O158" i="6"/>
  <c r="N158" i="6"/>
  <c r="M158" i="6"/>
  <c r="L158" i="6"/>
  <c r="K158" i="6"/>
  <c r="J158" i="6"/>
  <c r="I158" i="6"/>
  <c r="F158" i="6"/>
  <c r="E158" i="6"/>
  <c r="D158" i="6"/>
  <c r="G158" i="6" s="1"/>
  <c r="C158" i="6"/>
  <c r="B158" i="6"/>
  <c r="A158" i="6"/>
  <c r="Q157" i="6"/>
  <c r="P157" i="6"/>
  <c r="O157" i="6"/>
  <c r="N157" i="6"/>
  <c r="M157" i="6"/>
  <c r="K157" i="6"/>
  <c r="J157" i="6"/>
  <c r="I157" i="6"/>
  <c r="H157" i="6"/>
  <c r="G157" i="6"/>
  <c r="E157" i="6"/>
  <c r="D157" i="6"/>
  <c r="C157" i="6"/>
  <c r="B157" i="6"/>
  <c r="A157" i="6"/>
  <c r="Q156" i="6"/>
  <c r="P156" i="6"/>
  <c r="O156" i="6"/>
  <c r="N156" i="6"/>
  <c r="M156" i="6"/>
  <c r="K156" i="6"/>
  <c r="J156" i="6"/>
  <c r="I156" i="6"/>
  <c r="H156" i="6"/>
  <c r="E156" i="6"/>
  <c r="D156" i="6"/>
  <c r="G156" i="6" s="1"/>
  <c r="C156" i="6"/>
  <c r="B156" i="6"/>
  <c r="A156" i="6"/>
  <c r="Q155" i="6"/>
  <c r="P155" i="6"/>
  <c r="O155" i="6"/>
  <c r="N155" i="6"/>
  <c r="M155" i="6"/>
  <c r="K155" i="6"/>
  <c r="J155" i="6"/>
  <c r="I155" i="6"/>
  <c r="H155" i="6"/>
  <c r="F155" i="6"/>
  <c r="E155" i="6"/>
  <c r="D155" i="6"/>
  <c r="G155" i="6" s="1"/>
  <c r="C155" i="6"/>
  <c r="B155" i="6"/>
  <c r="A155" i="6"/>
  <c r="Q154" i="6"/>
  <c r="P154" i="6"/>
  <c r="O154" i="6"/>
  <c r="N154" i="6"/>
  <c r="M154" i="6"/>
  <c r="K154" i="6"/>
  <c r="J154" i="6"/>
  <c r="I154" i="6"/>
  <c r="H154" i="6"/>
  <c r="G154" i="6"/>
  <c r="E154" i="6"/>
  <c r="D154" i="6"/>
  <c r="C154" i="6"/>
  <c r="B154" i="6"/>
  <c r="A154" i="6"/>
  <c r="Q153" i="6"/>
  <c r="P153" i="6"/>
  <c r="O153" i="6"/>
  <c r="N153" i="6"/>
  <c r="M153" i="6"/>
  <c r="K153" i="6"/>
  <c r="J153" i="6"/>
  <c r="I153" i="6"/>
  <c r="H153" i="6"/>
  <c r="E153" i="6"/>
  <c r="D153" i="6"/>
  <c r="G153" i="6" s="1"/>
  <c r="C153" i="6"/>
  <c r="B153" i="6"/>
  <c r="A153" i="6"/>
  <c r="Q152" i="6"/>
  <c r="P152" i="6"/>
  <c r="O152" i="6"/>
  <c r="N152" i="6"/>
  <c r="M152" i="6"/>
  <c r="K152" i="6"/>
  <c r="J152" i="6"/>
  <c r="I152" i="6"/>
  <c r="H152" i="6"/>
  <c r="E152" i="6"/>
  <c r="D152" i="6"/>
  <c r="G152" i="6" s="1"/>
  <c r="C152" i="6"/>
  <c r="B152" i="6"/>
  <c r="A152" i="6"/>
  <c r="Q151" i="6"/>
  <c r="P151" i="6"/>
  <c r="O151" i="6"/>
  <c r="N151" i="6"/>
  <c r="M151" i="6"/>
  <c r="K151" i="6"/>
  <c r="J151" i="6"/>
  <c r="I151" i="6"/>
  <c r="H151" i="6"/>
  <c r="E151" i="6"/>
  <c r="D151" i="6"/>
  <c r="G151" i="6" s="1"/>
  <c r="C151" i="6"/>
  <c r="B151" i="6"/>
  <c r="A151" i="6"/>
  <c r="Q150" i="6"/>
  <c r="P150" i="6"/>
  <c r="O150" i="6"/>
  <c r="N150" i="6"/>
  <c r="M150" i="6"/>
  <c r="K150" i="6"/>
  <c r="J150" i="6"/>
  <c r="I150" i="6"/>
  <c r="H150" i="6"/>
  <c r="E150" i="6"/>
  <c r="D150" i="6"/>
  <c r="G150" i="6" s="1"/>
  <c r="C150" i="6"/>
  <c r="B150" i="6"/>
  <c r="A150" i="6"/>
  <c r="Q149" i="6"/>
  <c r="P149" i="6"/>
  <c r="O149" i="6"/>
  <c r="N149" i="6"/>
  <c r="M149" i="6"/>
  <c r="K149" i="6"/>
  <c r="J149" i="6"/>
  <c r="I149" i="6"/>
  <c r="H149" i="6"/>
  <c r="G149" i="6"/>
  <c r="E149" i="6"/>
  <c r="D149" i="6"/>
  <c r="C149" i="6"/>
  <c r="B149" i="6"/>
  <c r="A149" i="6"/>
  <c r="Q148" i="6"/>
  <c r="P148" i="6"/>
  <c r="O148" i="6"/>
  <c r="N148" i="6"/>
  <c r="M148" i="6"/>
  <c r="K148" i="6"/>
  <c r="J148" i="6"/>
  <c r="I148" i="6"/>
  <c r="H148" i="6"/>
  <c r="E148" i="6"/>
  <c r="D148" i="6"/>
  <c r="G148" i="6" s="1"/>
  <c r="C148" i="6"/>
  <c r="B148" i="6"/>
  <c r="A148" i="6"/>
  <c r="Q147" i="6"/>
  <c r="P147" i="6"/>
  <c r="O147" i="6"/>
  <c r="N147" i="6"/>
  <c r="M147" i="6"/>
  <c r="K147" i="6"/>
  <c r="J147" i="6"/>
  <c r="I147" i="6"/>
  <c r="H147" i="6"/>
  <c r="E147" i="6"/>
  <c r="D147" i="6"/>
  <c r="G147" i="6" s="1"/>
  <c r="C147" i="6"/>
  <c r="B147" i="6"/>
  <c r="A147" i="6"/>
  <c r="Q146" i="6"/>
  <c r="P146" i="6"/>
  <c r="O146" i="6"/>
  <c r="N146" i="6"/>
  <c r="M146" i="6"/>
  <c r="K146" i="6"/>
  <c r="J146" i="6"/>
  <c r="I146" i="6"/>
  <c r="H146" i="6"/>
  <c r="E146" i="6"/>
  <c r="D146" i="6"/>
  <c r="G146" i="6" s="1"/>
  <c r="C146" i="6"/>
  <c r="B146" i="6"/>
  <c r="A146" i="6"/>
  <c r="Q145" i="6"/>
  <c r="P145" i="6"/>
  <c r="O145" i="6"/>
  <c r="N145" i="6"/>
  <c r="M145" i="6"/>
  <c r="K145" i="6"/>
  <c r="J145" i="6"/>
  <c r="I145" i="6"/>
  <c r="H145" i="6"/>
  <c r="E145" i="6"/>
  <c r="D145" i="6"/>
  <c r="G145" i="6" s="1"/>
  <c r="C145" i="6"/>
  <c r="B145" i="6"/>
  <c r="A145" i="6"/>
  <c r="Q144" i="6"/>
  <c r="P144" i="6"/>
  <c r="O144" i="6"/>
  <c r="N144" i="6"/>
  <c r="M144" i="6"/>
  <c r="K144" i="6"/>
  <c r="J144" i="6"/>
  <c r="I144" i="6"/>
  <c r="H144" i="6"/>
  <c r="E144" i="6"/>
  <c r="D144" i="6"/>
  <c r="G144" i="6" s="1"/>
  <c r="C144" i="6"/>
  <c r="B144" i="6"/>
  <c r="A144" i="6"/>
  <c r="Q143" i="6"/>
  <c r="P143" i="6"/>
  <c r="O143" i="6"/>
  <c r="N143" i="6"/>
  <c r="M143" i="6"/>
  <c r="K143" i="6"/>
  <c r="J143" i="6"/>
  <c r="I143" i="6"/>
  <c r="H143" i="6"/>
  <c r="E143" i="6"/>
  <c r="D143" i="6"/>
  <c r="G143" i="6" s="1"/>
  <c r="C143" i="6"/>
  <c r="B143" i="6"/>
  <c r="A143" i="6"/>
  <c r="Q142" i="6"/>
  <c r="P142" i="6"/>
  <c r="O142" i="6"/>
  <c r="N142" i="6"/>
  <c r="M142" i="6"/>
  <c r="K142" i="6"/>
  <c r="J142" i="6"/>
  <c r="I142" i="6"/>
  <c r="H142" i="6"/>
  <c r="E142" i="6"/>
  <c r="D142" i="6"/>
  <c r="G142" i="6" s="1"/>
  <c r="C142" i="6"/>
  <c r="B142" i="6"/>
  <c r="A142" i="6"/>
  <c r="R141" i="6"/>
  <c r="Q141" i="6"/>
  <c r="P141" i="6"/>
  <c r="O141" i="6"/>
  <c r="N141" i="6"/>
  <c r="M141" i="6"/>
  <c r="G140" i="6"/>
  <c r="G139" i="6"/>
  <c r="R137" i="6"/>
  <c r="Q137" i="6"/>
  <c r="P137" i="6"/>
  <c r="O137" i="6"/>
  <c r="N137" i="6"/>
  <c r="M137" i="6"/>
  <c r="K137" i="6"/>
  <c r="J137" i="6"/>
  <c r="I137" i="6"/>
  <c r="H137" i="6"/>
  <c r="G137" i="6"/>
  <c r="E137" i="6"/>
  <c r="D137" i="6"/>
  <c r="C137" i="6"/>
  <c r="B137" i="6"/>
  <c r="A137" i="6"/>
  <c r="Q136" i="6"/>
  <c r="P136" i="6"/>
  <c r="O136" i="6"/>
  <c r="N136" i="6"/>
  <c r="M136" i="6"/>
  <c r="K136" i="6"/>
  <c r="J136" i="6"/>
  <c r="I136" i="6"/>
  <c r="H136" i="6"/>
  <c r="E136" i="6"/>
  <c r="D136" i="6"/>
  <c r="G136" i="6" s="1"/>
  <c r="C136" i="6"/>
  <c r="B136" i="6"/>
  <c r="A136" i="6"/>
  <c r="R135" i="6"/>
  <c r="S135" i="6" s="1"/>
  <c r="Q135" i="6"/>
  <c r="P135" i="6"/>
  <c r="O135" i="6"/>
  <c r="N135" i="6"/>
  <c r="M135" i="6"/>
  <c r="K135" i="6"/>
  <c r="J135" i="6"/>
  <c r="I135" i="6"/>
  <c r="H135" i="6"/>
  <c r="G135" i="6"/>
  <c r="E135" i="6"/>
  <c r="D135" i="6"/>
  <c r="C135" i="6"/>
  <c r="B135" i="6"/>
  <c r="A135" i="6"/>
  <c r="Q134" i="6"/>
  <c r="P134" i="6"/>
  <c r="O134" i="6"/>
  <c r="N134" i="6"/>
  <c r="M134" i="6"/>
  <c r="K134" i="6"/>
  <c r="J134" i="6"/>
  <c r="I134" i="6"/>
  <c r="H134" i="6"/>
  <c r="G134" i="6"/>
  <c r="E134" i="6"/>
  <c r="D134" i="6"/>
  <c r="C134" i="6"/>
  <c r="B134" i="6"/>
  <c r="A134" i="6"/>
  <c r="Q133" i="6"/>
  <c r="P133" i="6"/>
  <c r="O133" i="6"/>
  <c r="N133" i="6"/>
  <c r="M133" i="6"/>
  <c r="K133" i="6"/>
  <c r="J133" i="6"/>
  <c r="I133" i="6"/>
  <c r="H133" i="6"/>
  <c r="F133" i="6"/>
  <c r="F136" i="6" s="1"/>
  <c r="E133" i="6"/>
  <c r="D133" i="6"/>
  <c r="G133" i="6" s="1"/>
  <c r="C133" i="6"/>
  <c r="B133" i="6"/>
  <c r="A133" i="6"/>
  <c r="Q132" i="6"/>
  <c r="P132" i="6"/>
  <c r="O132" i="6"/>
  <c r="N132" i="6"/>
  <c r="M132" i="6"/>
  <c r="K132" i="6"/>
  <c r="J132" i="6"/>
  <c r="I132" i="6"/>
  <c r="H132" i="6"/>
  <c r="F132" i="6"/>
  <c r="E132" i="6"/>
  <c r="D132" i="6"/>
  <c r="G132" i="6" s="1"/>
  <c r="C132" i="6"/>
  <c r="B132" i="6"/>
  <c r="A132" i="6"/>
  <c r="Q131" i="6"/>
  <c r="P131" i="6"/>
  <c r="O131" i="6"/>
  <c r="N131" i="6"/>
  <c r="M131" i="6"/>
  <c r="K131" i="6"/>
  <c r="J131" i="6"/>
  <c r="I131" i="6"/>
  <c r="H131" i="6"/>
  <c r="E131" i="6"/>
  <c r="D131" i="6"/>
  <c r="G131" i="6" s="1"/>
  <c r="C131" i="6"/>
  <c r="B131" i="6"/>
  <c r="A131" i="6"/>
  <c r="R130" i="6"/>
  <c r="Q130" i="6"/>
  <c r="P130" i="6"/>
  <c r="O130" i="6"/>
  <c r="N130" i="6"/>
  <c r="M130" i="6"/>
  <c r="G129" i="6"/>
  <c r="G128" i="6"/>
  <c r="G127" i="6"/>
  <c r="R126" i="6"/>
  <c r="S126" i="6" s="1"/>
  <c r="Q126" i="6"/>
  <c r="P126" i="6"/>
  <c r="O126" i="6"/>
  <c r="N126" i="6"/>
  <c r="M126" i="6"/>
  <c r="K126" i="6"/>
  <c r="J126" i="6"/>
  <c r="I126" i="6"/>
  <c r="H126" i="6"/>
  <c r="G126" i="6"/>
  <c r="E126" i="6"/>
  <c r="D126" i="6"/>
  <c r="C126" i="6"/>
  <c r="B126" i="6"/>
  <c r="A126" i="6"/>
  <c r="Q125" i="6"/>
  <c r="P125" i="6"/>
  <c r="O125" i="6"/>
  <c r="N125" i="6"/>
  <c r="M125" i="6"/>
  <c r="K125" i="6"/>
  <c r="J125" i="6"/>
  <c r="I125" i="6"/>
  <c r="H125" i="6"/>
  <c r="E125" i="6"/>
  <c r="D125" i="6"/>
  <c r="G125" i="6" s="1"/>
  <c r="C125" i="6"/>
  <c r="B125" i="6"/>
  <c r="A125" i="6"/>
  <c r="Q124" i="6"/>
  <c r="P124" i="6"/>
  <c r="O124" i="6"/>
  <c r="N124" i="6"/>
  <c r="M124" i="6"/>
  <c r="K124" i="6"/>
  <c r="J124" i="6"/>
  <c r="I124" i="6"/>
  <c r="H124" i="6"/>
  <c r="E124" i="6"/>
  <c r="D124" i="6"/>
  <c r="G124" i="6" s="1"/>
  <c r="C124" i="6"/>
  <c r="B124" i="6"/>
  <c r="A124" i="6"/>
  <c r="Q123" i="6"/>
  <c r="P123" i="6"/>
  <c r="O123" i="6"/>
  <c r="N123" i="6"/>
  <c r="M123" i="6"/>
  <c r="K123" i="6"/>
  <c r="J123" i="6"/>
  <c r="I123" i="6"/>
  <c r="H123" i="6"/>
  <c r="F123" i="6"/>
  <c r="E123" i="6"/>
  <c r="D123" i="6"/>
  <c r="G123" i="6" s="1"/>
  <c r="C123" i="6"/>
  <c r="B123" i="6"/>
  <c r="A123" i="6"/>
  <c r="Q122" i="6"/>
  <c r="P122" i="6"/>
  <c r="O122" i="6"/>
  <c r="N122" i="6"/>
  <c r="M122" i="6"/>
  <c r="K122" i="6"/>
  <c r="J122" i="6"/>
  <c r="I122" i="6"/>
  <c r="H122" i="6"/>
  <c r="E122" i="6"/>
  <c r="D122" i="6"/>
  <c r="G122" i="6" s="1"/>
  <c r="C122" i="6"/>
  <c r="B122" i="6"/>
  <c r="A122" i="6"/>
  <c r="Q121" i="6"/>
  <c r="P121" i="6"/>
  <c r="O121" i="6"/>
  <c r="N121" i="6"/>
  <c r="M121" i="6"/>
  <c r="K121" i="6"/>
  <c r="J121" i="6"/>
  <c r="I121" i="6"/>
  <c r="H121" i="6"/>
  <c r="E121" i="6"/>
  <c r="D121" i="6"/>
  <c r="G121" i="6" s="1"/>
  <c r="C121" i="6"/>
  <c r="B121" i="6"/>
  <c r="A121" i="6"/>
  <c r="Q120" i="6"/>
  <c r="P120" i="6"/>
  <c r="O120" i="6"/>
  <c r="N120" i="6"/>
  <c r="M120" i="6"/>
  <c r="K120" i="6"/>
  <c r="J120" i="6"/>
  <c r="I120" i="6"/>
  <c r="H120" i="6"/>
  <c r="E120" i="6"/>
  <c r="D120" i="6"/>
  <c r="G120" i="6" s="1"/>
  <c r="C120" i="6"/>
  <c r="B120" i="6"/>
  <c r="A120" i="6"/>
  <c r="Q119" i="6"/>
  <c r="P119" i="6"/>
  <c r="O119" i="6"/>
  <c r="N119" i="6"/>
  <c r="M119" i="6"/>
  <c r="K119" i="6"/>
  <c r="J119" i="6"/>
  <c r="I119" i="6"/>
  <c r="H119" i="6"/>
  <c r="G119" i="6"/>
  <c r="E119" i="6"/>
  <c r="D119" i="6"/>
  <c r="C119" i="6"/>
  <c r="B119" i="6"/>
  <c r="A119" i="6"/>
  <c r="Q118" i="6"/>
  <c r="P118" i="6"/>
  <c r="O118" i="6"/>
  <c r="N118" i="6"/>
  <c r="M118" i="6"/>
  <c r="K118" i="6"/>
  <c r="J118" i="6"/>
  <c r="I118" i="6"/>
  <c r="H118" i="6"/>
  <c r="E118" i="6"/>
  <c r="D118" i="6"/>
  <c r="G118" i="6" s="1"/>
  <c r="C118" i="6"/>
  <c r="B118" i="6"/>
  <c r="A118" i="6"/>
  <c r="Q117" i="6"/>
  <c r="P117" i="6"/>
  <c r="O117" i="6"/>
  <c r="N117" i="6"/>
  <c r="M117" i="6"/>
  <c r="K117" i="6"/>
  <c r="J117" i="6"/>
  <c r="I117" i="6"/>
  <c r="H117" i="6"/>
  <c r="E117" i="6"/>
  <c r="D117" i="6"/>
  <c r="G117" i="6" s="1"/>
  <c r="C117" i="6"/>
  <c r="B117" i="6"/>
  <c r="A117" i="6"/>
  <c r="Q116" i="6"/>
  <c r="P116" i="6"/>
  <c r="O116" i="6"/>
  <c r="N116" i="6"/>
  <c r="K116" i="6"/>
  <c r="J116" i="6"/>
  <c r="I116" i="6"/>
  <c r="H116" i="6"/>
  <c r="E116" i="6"/>
  <c r="D116" i="6"/>
  <c r="G116" i="6" s="1"/>
  <c r="C116" i="6"/>
  <c r="B116" i="6"/>
  <c r="A116" i="6"/>
  <c r="Q115" i="6"/>
  <c r="P115" i="6"/>
  <c r="O115" i="6"/>
  <c r="N115" i="6"/>
  <c r="M115" i="6"/>
  <c r="K115" i="6"/>
  <c r="J115" i="6"/>
  <c r="I115" i="6"/>
  <c r="H115" i="6"/>
  <c r="G115" i="6"/>
  <c r="E115" i="6"/>
  <c r="D115" i="6"/>
  <c r="C115" i="6"/>
  <c r="B115" i="6"/>
  <c r="A115" i="6"/>
  <c r="Q114" i="6"/>
  <c r="P114" i="6"/>
  <c r="O114" i="6"/>
  <c r="N114" i="6"/>
  <c r="M114" i="6"/>
  <c r="K114" i="6"/>
  <c r="J114" i="6"/>
  <c r="I114" i="6"/>
  <c r="H114" i="6"/>
  <c r="E114" i="6"/>
  <c r="D114" i="6"/>
  <c r="G114" i="6" s="1"/>
  <c r="C114" i="6"/>
  <c r="B114" i="6"/>
  <c r="A114" i="6"/>
  <c r="Q113" i="6"/>
  <c r="P113" i="6"/>
  <c r="O113" i="6"/>
  <c r="N113" i="6"/>
  <c r="M113" i="6"/>
  <c r="K113" i="6"/>
  <c r="J113" i="6"/>
  <c r="I113" i="6"/>
  <c r="H113" i="6"/>
  <c r="F113" i="6"/>
  <c r="E113" i="6"/>
  <c r="D113" i="6"/>
  <c r="G113" i="6" s="1"/>
  <c r="C113" i="6"/>
  <c r="B113" i="6"/>
  <c r="A113" i="6"/>
  <c r="Q112" i="6"/>
  <c r="P112" i="6"/>
  <c r="O112" i="6"/>
  <c r="N112" i="6"/>
  <c r="M112" i="6"/>
  <c r="K112" i="6"/>
  <c r="J112" i="6"/>
  <c r="I112" i="6"/>
  <c r="H112" i="6"/>
  <c r="G112" i="6"/>
  <c r="E112" i="6"/>
  <c r="D112" i="6"/>
  <c r="C112" i="6"/>
  <c r="B112" i="6"/>
  <c r="A112" i="6"/>
  <c r="Q111" i="6"/>
  <c r="P111" i="6"/>
  <c r="O111" i="6"/>
  <c r="N111" i="6"/>
  <c r="M111" i="6"/>
  <c r="K111" i="6"/>
  <c r="J111" i="6"/>
  <c r="I111" i="6"/>
  <c r="H111" i="6"/>
  <c r="E111" i="6"/>
  <c r="D111" i="6"/>
  <c r="G111" i="6" s="1"/>
  <c r="C111" i="6"/>
  <c r="B111" i="6"/>
  <c r="A111" i="6"/>
  <c r="Q110" i="6"/>
  <c r="P110" i="6"/>
  <c r="O110" i="6"/>
  <c r="N110" i="6"/>
  <c r="M110" i="6"/>
  <c r="K110" i="6"/>
  <c r="J110" i="6"/>
  <c r="I110" i="6"/>
  <c r="H110" i="6"/>
  <c r="E110" i="6"/>
  <c r="D110" i="6"/>
  <c r="G110" i="6" s="1"/>
  <c r="C110" i="6"/>
  <c r="B110" i="6"/>
  <c r="A110" i="6"/>
  <c r="Q109" i="6"/>
  <c r="P109" i="6"/>
  <c r="O109" i="6"/>
  <c r="N109" i="6"/>
  <c r="M109" i="6"/>
  <c r="K109" i="6"/>
  <c r="J109" i="6"/>
  <c r="I109" i="6"/>
  <c r="H109" i="6"/>
  <c r="E109" i="6"/>
  <c r="D109" i="6"/>
  <c r="G109" i="6" s="1"/>
  <c r="C109" i="6"/>
  <c r="B109" i="6"/>
  <c r="A109" i="6"/>
  <c r="Q108" i="6"/>
  <c r="P108" i="6"/>
  <c r="O108" i="6"/>
  <c r="N108" i="6"/>
  <c r="M108" i="6"/>
  <c r="K108" i="6"/>
  <c r="J108" i="6"/>
  <c r="I108" i="6"/>
  <c r="H108" i="6"/>
  <c r="G108" i="6"/>
  <c r="E108" i="6"/>
  <c r="D108" i="6"/>
  <c r="C108" i="6"/>
  <c r="B108" i="6"/>
  <c r="A108" i="6"/>
  <c r="Q107" i="6"/>
  <c r="P107" i="6"/>
  <c r="O107" i="6"/>
  <c r="N107" i="6"/>
  <c r="M107" i="6"/>
  <c r="K107" i="6"/>
  <c r="J107" i="6"/>
  <c r="I107" i="6"/>
  <c r="H107" i="6"/>
  <c r="E107" i="6"/>
  <c r="D107" i="6"/>
  <c r="G107" i="6" s="1"/>
  <c r="C107" i="6"/>
  <c r="B107" i="6"/>
  <c r="A107" i="6"/>
  <c r="Q106" i="6"/>
  <c r="P106" i="6"/>
  <c r="O106" i="6"/>
  <c r="N106" i="6"/>
  <c r="M106" i="6"/>
  <c r="K106" i="6"/>
  <c r="J106" i="6"/>
  <c r="I106" i="6"/>
  <c r="H106" i="6"/>
  <c r="E106" i="6"/>
  <c r="D106" i="6"/>
  <c r="G106" i="6" s="1"/>
  <c r="C106" i="6"/>
  <c r="B106" i="6"/>
  <c r="A106" i="6"/>
  <c r="Q105" i="6"/>
  <c r="P105" i="6"/>
  <c r="O105" i="6"/>
  <c r="N105" i="6"/>
  <c r="M105" i="6"/>
  <c r="K105" i="6"/>
  <c r="J105" i="6"/>
  <c r="I105" i="6"/>
  <c r="H105" i="6"/>
  <c r="E105" i="6"/>
  <c r="D105" i="6"/>
  <c r="G105" i="6" s="1"/>
  <c r="C105" i="6"/>
  <c r="B105" i="6"/>
  <c r="A105" i="6"/>
  <c r="Q104" i="6"/>
  <c r="P104" i="6"/>
  <c r="O104" i="6"/>
  <c r="N104" i="6"/>
  <c r="M104" i="6"/>
  <c r="K104" i="6"/>
  <c r="J104" i="6"/>
  <c r="I104" i="6"/>
  <c r="H104" i="6"/>
  <c r="E104" i="6"/>
  <c r="D104" i="6"/>
  <c r="G104" i="6" s="1"/>
  <c r="C104" i="6"/>
  <c r="B104" i="6"/>
  <c r="A104" i="6"/>
  <c r="Q103" i="6"/>
  <c r="P103" i="6"/>
  <c r="O103" i="6"/>
  <c r="N103" i="6"/>
  <c r="M103" i="6"/>
  <c r="K103" i="6"/>
  <c r="J103" i="6"/>
  <c r="I103" i="6"/>
  <c r="H103" i="6"/>
  <c r="E103" i="6"/>
  <c r="D103" i="6"/>
  <c r="C103" i="6"/>
  <c r="B103" i="6"/>
  <c r="A103" i="6"/>
  <c r="Q102" i="6"/>
  <c r="P102" i="6"/>
  <c r="O102" i="6"/>
  <c r="N102" i="6"/>
  <c r="M102" i="6"/>
  <c r="K102" i="6"/>
  <c r="J102" i="6"/>
  <c r="I102" i="6"/>
  <c r="H102" i="6"/>
  <c r="E102" i="6"/>
  <c r="D102" i="6"/>
  <c r="G103" i="6" s="1"/>
  <c r="C102" i="6"/>
  <c r="B102" i="6"/>
  <c r="A102" i="6"/>
  <c r="Q101" i="6"/>
  <c r="P101" i="6"/>
  <c r="O101" i="6"/>
  <c r="N101" i="6"/>
  <c r="M101" i="6"/>
  <c r="K101" i="6"/>
  <c r="J101" i="6"/>
  <c r="I101" i="6"/>
  <c r="H101" i="6"/>
  <c r="E101" i="6"/>
  <c r="D101" i="6"/>
  <c r="G102" i="6" s="1"/>
  <c r="C101" i="6"/>
  <c r="B101" i="6"/>
  <c r="A101" i="6"/>
  <c r="Q100" i="6"/>
  <c r="P100" i="6"/>
  <c r="O100" i="6"/>
  <c r="N100" i="6"/>
  <c r="M100" i="6"/>
  <c r="K100" i="6"/>
  <c r="J100" i="6"/>
  <c r="I100" i="6"/>
  <c r="H100" i="6"/>
  <c r="F100" i="6"/>
  <c r="E100" i="6"/>
  <c r="D100" i="6"/>
  <c r="G100" i="6" s="1"/>
  <c r="C100" i="6"/>
  <c r="B100" i="6"/>
  <c r="A100" i="6"/>
  <c r="Q99" i="6"/>
  <c r="P99" i="6"/>
  <c r="O99" i="6"/>
  <c r="N99" i="6"/>
  <c r="M99" i="6"/>
  <c r="K99" i="6"/>
  <c r="J99" i="6"/>
  <c r="I99" i="6"/>
  <c r="H99" i="6"/>
  <c r="E99" i="6"/>
  <c r="D99" i="6"/>
  <c r="G99" i="6" s="1"/>
  <c r="C99" i="6"/>
  <c r="B99" i="6"/>
  <c r="A99" i="6"/>
  <c r="R98" i="6"/>
  <c r="Q98" i="6"/>
  <c r="P98" i="6"/>
  <c r="O98" i="6"/>
  <c r="N98" i="6"/>
  <c r="M98" i="6"/>
  <c r="G97" i="6"/>
  <c r="G96" i="6"/>
  <c r="G95" i="6"/>
  <c r="G94" i="6"/>
  <c r="O88" i="6"/>
  <c r="N88" i="6"/>
  <c r="M88" i="6"/>
  <c r="K88" i="6"/>
  <c r="J88" i="6"/>
  <c r="I88" i="6"/>
  <c r="H88" i="6"/>
  <c r="E88" i="6"/>
  <c r="D88" i="6"/>
  <c r="G88" i="6" s="1"/>
  <c r="C88" i="6"/>
  <c r="B88" i="6"/>
  <c r="A88" i="6"/>
  <c r="O87" i="6"/>
  <c r="N87" i="6"/>
  <c r="M87" i="6"/>
  <c r="P87" i="6" s="1"/>
  <c r="K87" i="6"/>
  <c r="J87" i="6"/>
  <c r="I87" i="6"/>
  <c r="H87" i="6"/>
  <c r="E87" i="6"/>
  <c r="D87" i="6"/>
  <c r="G87" i="6" s="1"/>
  <c r="C87" i="6"/>
  <c r="B87" i="6"/>
  <c r="A87" i="6"/>
  <c r="O86" i="6"/>
  <c r="N86" i="6"/>
  <c r="M86" i="6"/>
  <c r="P86" i="6" s="1"/>
  <c r="K86" i="6"/>
  <c r="J86" i="6"/>
  <c r="I86" i="6"/>
  <c r="H86" i="6"/>
  <c r="D86" i="6"/>
  <c r="C86" i="6"/>
  <c r="B86" i="6"/>
  <c r="A86" i="6"/>
  <c r="O85" i="6"/>
  <c r="N85" i="6"/>
  <c r="M85" i="6"/>
  <c r="P85" i="6" s="1"/>
  <c r="K85" i="6"/>
  <c r="J85" i="6"/>
  <c r="I85" i="6"/>
  <c r="H85" i="6"/>
  <c r="D85" i="6"/>
  <c r="C85" i="6"/>
  <c r="B85" i="6"/>
  <c r="A85" i="6"/>
  <c r="Q84" i="6"/>
  <c r="O84" i="6"/>
  <c r="N84" i="6"/>
  <c r="M84" i="6"/>
  <c r="G83" i="6"/>
  <c r="Q81" i="6"/>
  <c r="P81" i="6"/>
  <c r="O81" i="6"/>
  <c r="N81" i="6"/>
  <c r="M81" i="6"/>
  <c r="K81" i="6"/>
  <c r="J81" i="6"/>
  <c r="I81" i="6"/>
  <c r="H81" i="6"/>
  <c r="E81" i="6"/>
  <c r="D81" i="6"/>
  <c r="G81" i="6" s="1"/>
  <c r="C81" i="6"/>
  <c r="B81" i="6"/>
  <c r="A81" i="6"/>
  <c r="Q80" i="6"/>
  <c r="P80" i="6"/>
  <c r="O80" i="6"/>
  <c r="N80" i="6"/>
  <c r="M80" i="6"/>
  <c r="K80" i="6"/>
  <c r="J80" i="6"/>
  <c r="I80" i="6"/>
  <c r="H80" i="6"/>
  <c r="D80" i="6"/>
  <c r="G80" i="6" s="1"/>
  <c r="C80" i="6"/>
  <c r="B80" i="6"/>
  <c r="A80" i="6"/>
  <c r="Q79" i="6"/>
  <c r="P79" i="6"/>
  <c r="O79" i="6"/>
  <c r="N79" i="6"/>
  <c r="M79" i="6"/>
  <c r="K79" i="6"/>
  <c r="J79" i="6"/>
  <c r="I79" i="6"/>
  <c r="H79" i="6"/>
  <c r="E79" i="6"/>
  <c r="D79" i="6"/>
  <c r="G79" i="6" s="1"/>
  <c r="C79" i="6"/>
  <c r="B79" i="6"/>
  <c r="A79" i="6"/>
  <c r="Q78" i="6"/>
  <c r="P78" i="6"/>
  <c r="O78" i="6"/>
  <c r="N78" i="6"/>
  <c r="M78" i="6"/>
  <c r="K78" i="6"/>
  <c r="J78" i="6"/>
  <c r="I78" i="6"/>
  <c r="H78" i="6"/>
  <c r="E78" i="6"/>
  <c r="D78" i="6"/>
  <c r="G78" i="6" s="1"/>
  <c r="C78" i="6"/>
  <c r="B78" i="6"/>
  <c r="A78" i="6"/>
  <c r="Q77" i="6"/>
  <c r="P77" i="6"/>
  <c r="O77" i="6"/>
  <c r="N77" i="6"/>
  <c r="M77" i="6"/>
  <c r="K77" i="6"/>
  <c r="J77" i="6"/>
  <c r="I77" i="6"/>
  <c r="H77" i="6"/>
  <c r="G77" i="6"/>
  <c r="E77" i="6"/>
  <c r="D77" i="6"/>
  <c r="C77" i="6"/>
  <c r="B77" i="6"/>
  <c r="A77" i="6"/>
  <c r="Q76" i="6"/>
  <c r="P76" i="6"/>
  <c r="O76" i="6"/>
  <c r="N76" i="6"/>
  <c r="M76" i="6"/>
  <c r="K76" i="6"/>
  <c r="J76" i="6"/>
  <c r="I76" i="6"/>
  <c r="H76" i="6"/>
  <c r="F76" i="6"/>
  <c r="E76" i="6"/>
  <c r="D76" i="6"/>
  <c r="G76" i="6" s="1"/>
  <c r="C76" i="6"/>
  <c r="B76" i="6"/>
  <c r="A76" i="6"/>
  <c r="Q75" i="6"/>
  <c r="P75" i="6"/>
  <c r="O75" i="6"/>
  <c r="N75" i="6"/>
  <c r="M75" i="6"/>
  <c r="K75" i="6"/>
  <c r="J75" i="6"/>
  <c r="I75" i="6"/>
  <c r="H75" i="6"/>
  <c r="E75" i="6"/>
  <c r="D75" i="6"/>
  <c r="G75" i="6" s="1"/>
  <c r="C75" i="6"/>
  <c r="B75" i="6"/>
  <c r="A75" i="6"/>
  <c r="Q74" i="6"/>
  <c r="P74" i="6"/>
  <c r="O74" i="6"/>
  <c r="N74" i="6"/>
  <c r="M74" i="6"/>
  <c r="K74" i="6"/>
  <c r="J74" i="6"/>
  <c r="I74" i="6"/>
  <c r="H74" i="6"/>
  <c r="E74" i="6"/>
  <c r="D74" i="6"/>
  <c r="G74" i="6" s="1"/>
  <c r="C74" i="6"/>
  <c r="B74" i="6"/>
  <c r="A74" i="6"/>
  <c r="Q73" i="6"/>
  <c r="P73" i="6"/>
  <c r="O73" i="6"/>
  <c r="N73" i="6"/>
  <c r="M73" i="6"/>
  <c r="K73" i="6"/>
  <c r="J73" i="6"/>
  <c r="I73" i="6"/>
  <c r="H73" i="6"/>
  <c r="E73" i="6"/>
  <c r="D73" i="6"/>
  <c r="G73" i="6" s="1"/>
  <c r="C73" i="6"/>
  <c r="B73" i="6"/>
  <c r="A73" i="6"/>
  <c r="R72" i="6"/>
  <c r="Q72" i="6"/>
  <c r="P72" i="6"/>
  <c r="O72" i="6"/>
  <c r="N72" i="6"/>
  <c r="M72" i="6"/>
  <c r="G71" i="6"/>
  <c r="D70" i="6"/>
  <c r="G70" i="6" s="1"/>
  <c r="Q68" i="6"/>
  <c r="P68" i="6"/>
  <c r="O68" i="6"/>
  <c r="N68" i="6"/>
  <c r="M68" i="6"/>
  <c r="K68" i="6"/>
  <c r="J68" i="6"/>
  <c r="I68" i="6"/>
  <c r="H68" i="6"/>
  <c r="E68" i="6"/>
  <c r="D68" i="6"/>
  <c r="G68" i="6" s="1"/>
  <c r="C68" i="6"/>
  <c r="B68" i="6"/>
  <c r="A68" i="6"/>
  <c r="Q67" i="6"/>
  <c r="P67" i="6"/>
  <c r="O67" i="6"/>
  <c r="N67" i="6"/>
  <c r="M67" i="6"/>
  <c r="K67" i="6"/>
  <c r="J67" i="6"/>
  <c r="I67" i="6"/>
  <c r="H67" i="6"/>
  <c r="E67" i="6"/>
  <c r="D67" i="6"/>
  <c r="G67" i="6" s="1"/>
  <c r="C67" i="6"/>
  <c r="B67" i="6"/>
  <c r="A67" i="6"/>
  <c r="Q66" i="6"/>
  <c r="P66" i="6"/>
  <c r="O66" i="6"/>
  <c r="N66" i="6"/>
  <c r="M66" i="6"/>
  <c r="K66" i="6"/>
  <c r="J66" i="6"/>
  <c r="I66" i="6"/>
  <c r="H66" i="6"/>
  <c r="E66" i="6"/>
  <c r="D66" i="6"/>
  <c r="G66" i="6" s="1"/>
  <c r="C66" i="6"/>
  <c r="B66" i="6"/>
  <c r="A66" i="6"/>
  <c r="Q65" i="6"/>
  <c r="P65" i="6"/>
  <c r="O65" i="6"/>
  <c r="N65" i="6"/>
  <c r="M65" i="6"/>
  <c r="K65" i="6"/>
  <c r="J65" i="6"/>
  <c r="I65" i="6"/>
  <c r="H65" i="6"/>
  <c r="E65" i="6"/>
  <c r="D65" i="6"/>
  <c r="G65" i="6" s="1"/>
  <c r="C65" i="6"/>
  <c r="B65" i="6"/>
  <c r="A65" i="6"/>
  <c r="Q64" i="6"/>
  <c r="P64" i="6"/>
  <c r="O64" i="6"/>
  <c r="N64" i="6"/>
  <c r="M64" i="6"/>
  <c r="K64" i="6"/>
  <c r="J64" i="6"/>
  <c r="I64" i="6"/>
  <c r="H64" i="6"/>
  <c r="G64" i="6"/>
  <c r="E64" i="6"/>
  <c r="D64" i="6"/>
  <c r="C64" i="6"/>
  <c r="B64" i="6"/>
  <c r="A64" i="6"/>
  <c r="Q63" i="6"/>
  <c r="P63" i="6"/>
  <c r="O63" i="6"/>
  <c r="N63" i="6"/>
  <c r="M63" i="6"/>
  <c r="K63" i="6"/>
  <c r="J63" i="6"/>
  <c r="I63" i="6"/>
  <c r="H63" i="6"/>
  <c r="F63" i="6"/>
  <c r="E63" i="6"/>
  <c r="D63" i="6"/>
  <c r="G63" i="6" s="1"/>
  <c r="C63" i="6"/>
  <c r="B63" i="6"/>
  <c r="A63" i="6"/>
  <c r="Q62" i="6"/>
  <c r="P62" i="6"/>
  <c r="O62" i="6"/>
  <c r="N62" i="6"/>
  <c r="M62" i="6"/>
  <c r="K62" i="6"/>
  <c r="J62" i="6"/>
  <c r="I62" i="6"/>
  <c r="H62" i="6"/>
  <c r="E62" i="6"/>
  <c r="D62" i="6"/>
  <c r="G62" i="6" s="1"/>
  <c r="C62" i="6"/>
  <c r="B62" i="6"/>
  <c r="A62" i="6"/>
  <c r="Q61" i="6"/>
  <c r="P61" i="6"/>
  <c r="O61" i="6"/>
  <c r="N61" i="6"/>
  <c r="M61" i="6"/>
  <c r="K61" i="6"/>
  <c r="J61" i="6"/>
  <c r="I61" i="6"/>
  <c r="H61" i="6"/>
  <c r="E61" i="6"/>
  <c r="D61" i="6"/>
  <c r="G61" i="6" s="1"/>
  <c r="C61" i="6"/>
  <c r="B61" i="6"/>
  <c r="A61" i="6"/>
  <c r="Q60" i="6"/>
  <c r="P60" i="6"/>
  <c r="O60" i="6"/>
  <c r="N60" i="6"/>
  <c r="M60" i="6"/>
  <c r="K60" i="6"/>
  <c r="J60" i="6"/>
  <c r="I60" i="6"/>
  <c r="H60" i="6"/>
  <c r="E60" i="6"/>
  <c r="D60" i="6"/>
  <c r="G60" i="6" s="1"/>
  <c r="C60" i="6"/>
  <c r="B60" i="6"/>
  <c r="A60" i="6"/>
  <c r="R59" i="6"/>
  <c r="Q59" i="6"/>
  <c r="P59" i="6"/>
  <c r="O59" i="6"/>
  <c r="N59" i="6"/>
  <c r="M59" i="6"/>
  <c r="G58" i="6"/>
  <c r="Q55" i="6"/>
  <c r="P55" i="6"/>
  <c r="O55" i="6"/>
  <c r="N55" i="6"/>
  <c r="M55" i="6"/>
  <c r="K55" i="6"/>
  <c r="J55" i="6"/>
  <c r="I55" i="6"/>
  <c r="H55" i="6"/>
  <c r="E55" i="6"/>
  <c r="D55" i="6"/>
  <c r="G55" i="6" s="1"/>
  <c r="C55" i="6"/>
  <c r="B55" i="6"/>
  <c r="A55" i="6"/>
  <c r="Q54" i="6"/>
  <c r="P54" i="6"/>
  <c r="O54" i="6"/>
  <c r="N54" i="6"/>
  <c r="M54" i="6"/>
  <c r="K54" i="6"/>
  <c r="J54" i="6"/>
  <c r="I54" i="6"/>
  <c r="H54" i="6"/>
  <c r="E54" i="6"/>
  <c r="D54" i="6"/>
  <c r="G54" i="6" s="1"/>
  <c r="C54" i="6"/>
  <c r="B54" i="6"/>
  <c r="A54" i="6"/>
  <c r="R53" i="6"/>
  <c r="S53" i="6" s="1"/>
  <c r="Q53" i="6"/>
  <c r="P53" i="6"/>
  <c r="O53" i="6"/>
  <c r="N53" i="6"/>
  <c r="M53" i="6"/>
  <c r="K53" i="6"/>
  <c r="J53" i="6"/>
  <c r="I53" i="6"/>
  <c r="H53" i="6"/>
  <c r="D53" i="6"/>
  <c r="G53" i="6" s="1"/>
  <c r="C53" i="6"/>
  <c r="B53" i="6"/>
  <c r="A53" i="6"/>
  <c r="Q52" i="6"/>
  <c r="P52" i="6"/>
  <c r="O52" i="6"/>
  <c r="N52" i="6"/>
  <c r="M52" i="6"/>
  <c r="K52" i="6"/>
  <c r="J52" i="6"/>
  <c r="I52" i="6"/>
  <c r="H52" i="6"/>
  <c r="E52" i="6"/>
  <c r="D52" i="6"/>
  <c r="G52" i="6" s="1"/>
  <c r="C52" i="6"/>
  <c r="B52" i="6"/>
  <c r="A52" i="6"/>
  <c r="Q51" i="6"/>
  <c r="P51" i="6"/>
  <c r="O51" i="6"/>
  <c r="N51" i="6"/>
  <c r="M51" i="6"/>
  <c r="K51" i="6"/>
  <c r="J51" i="6"/>
  <c r="I51" i="6"/>
  <c r="H51" i="6"/>
  <c r="E51" i="6"/>
  <c r="D51" i="6"/>
  <c r="G51" i="6" s="1"/>
  <c r="C51" i="6"/>
  <c r="B51" i="6"/>
  <c r="A51" i="6"/>
  <c r="R50" i="6"/>
  <c r="Q50" i="6"/>
  <c r="S50" i="6" s="1"/>
  <c r="P50" i="6"/>
  <c r="O50" i="6"/>
  <c r="N50" i="6"/>
  <c r="M50" i="6"/>
  <c r="K50" i="6"/>
  <c r="J50" i="6"/>
  <c r="I50" i="6"/>
  <c r="H50" i="6"/>
  <c r="E50" i="6"/>
  <c r="D50" i="6"/>
  <c r="G50" i="6" s="1"/>
  <c r="C50" i="6"/>
  <c r="B50" i="6"/>
  <c r="A50" i="6"/>
  <c r="Q49" i="6"/>
  <c r="P49" i="6"/>
  <c r="O49" i="6"/>
  <c r="N49" i="6"/>
  <c r="M49" i="6"/>
  <c r="K49" i="6"/>
  <c r="J49" i="6"/>
  <c r="I49" i="6"/>
  <c r="H49" i="6"/>
  <c r="E49" i="6"/>
  <c r="D49" i="6"/>
  <c r="G49" i="6" s="1"/>
  <c r="C49" i="6"/>
  <c r="B49" i="6"/>
  <c r="A49" i="6"/>
  <c r="R48" i="6"/>
  <c r="Q48" i="6"/>
  <c r="P48" i="6"/>
  <c r="O48" i="6"/>
  <c r="N48" i="6"/>
  <c r="M48" i="6"/>
  <c r="K48" i="6"/>
  <c r="J48" i="6"/>
  <c r="I48" i="6"/>
  <c r="H48" i="6"/>
  <c r="E48" i="6"/>
  <c r="D48" i="6"/>
  <c r="G48" i="6" s="1"/>
  <c r="C48" i="6"/>
  <c r="B48" i="6"/>
  <c r="A48" i="6"/>
  <c r="Q47" i="6"/>
  <c r="P47" i="6"/>
  <c r="O47" i="6"/>
  <c r="N47" i="6"/>
  <c r="M47" i="6"/>
  <c r="K47" i="6"/>
  <c r="J47" i="6"/>
  <c r="I47" i="6"/>
  <c r="H47" i="6"/>
  <c r="E47" i="6"/>
  <c r="D47" i="6"/>
  <c r="G47" i="6" s="1"/>
  <c r="C47" i="6"/>
  <c r="B47" i="6"/>
  <c r="A47" i="6"/>
  <c r="Q46" i="6"/>
  <c r="P46" i="6"/>
  <c r="O46" i="6"/>
  <c r="N46" i="6"/>
  <c r="M46" i="6"/>
  <c r="K46" i="6"/>
  <c r="J46" i="6"/>
  <c r="I46" i="6"/>
  <c r="H46" i="6"/>
  <c r="E46" i="6"/>
  <c r="D46" i="6"/>
  <c r="G46" i="6" s="1"/>
  <c r="C46" i="6"/>
  <c r="B46" i="6"/>
  <c r="A46" i="6"/>
  <c r="Q45" i="6"/>
  <c r="P45" i="6"/>
  <c r="O45" i="6"/>
  <c r="N45" i="6"/>
  <c r="M45" i="6"/>
  <c r="K45" i="6"/>
  <c r="J45" i="6"/>
  <c r="I45" i="6"/>
  <c r="H45" i="6"/>
  <c r="E45" i="6"/>
  <c r="D45" i="6"/>
  <c r="G45" i="6" s="1"/>
  <c r="C45" i="6"/>
  <c r="B45" i="6"/>
  <c r="A45" i="6"/>
  <c r="R44" i="6"/>
  <c r="Q44" i="6"/>
  <c r="P44" i="6"/>
  <c r="O44" i="6"/>
  <c r="N44" i="6"/>
  <c r="M44" i="6"/>
  <c r="G43" i="6"/>
  <c r="Q40" i="6"/>
  <c r="P40" i="6"/>
  <c r="O40" i="6"/>
  <c r="N40" i="6"/>
  <c r="M40" i="6"/>
  <c r="K40" i="6"/>
  <c r="J40" i="6"/>
  <c r="I40" i="6"/>
  <c r="H40" i="6"/>
  <c r="G40" i="6"/>
  <c r="E40" i="6"/>
  <c r="D40" i="6"/>
  <c r="C40" i="6"/>
  <c r="B40" i="6"/>
  <c r="A40" i="6"/>
  <c r="Q39" i="6"/>
  <c r="P39" i="6"/>
  <c r="O39" i="6"/>
  <c r="N39" i="6"/>
  <c r="M39" i="6"/>
  <c r="K39" i="6"/>
  <c r="J39" i="6"/>
  <c r="I39" i="6"/>
  <c r="H39" i="6"/>
  <c r="E39" i="6"/>
  <c r="D39" i="6"/>
  <c r="G39" i="6" s="1"/>
  <c r="C39" i="6"/>
  <c r="B39" i="6"/>
  <c r="A39" i="6"/>
  <c r="Q38" i="6"/>
  <c r="P38" i="6"/>
  <c r="O38" i="6"/>
  <c r="N38" i="6"/>
  <c r="M38" i="6"/>
  <c r="K38" i="6"/>
  <c r="J38" i="6"/>
  <c r="I38" i="6"/>
  <c r="H38" i="6"/>
  <c r="E38" i="6"/>
  <c r="D38" i="6"/>
  <c r="G38" i="6" s="1"/>
  <c r="C38" i="6"/>
  <c r="B38" i="6"/>
  <c r="A38" i="6"/>
  <c r="Q37" i="6"/>
  <c r="P37" i="6"/>
  <c r="O37" i="6"/>
  <c r="N37" i="6"/>
  <c r="M37" i="6"/>
  <c r="K37" i="6"/>
  <c r="J37" i="6"/>
  <c r="I37" i="6"/>
  <c r="H37" i="6"/>
  <c r="G37" i="6"/>
  <c r="E37" i="6"/>
  <c r="D37" i="6"/>
  <c r="C37" i="6"/>
  <c r="B37" i="6"/>
  <c r="A37" i="6"/>
  <c r="Q36" i="6"/>
  <c r="P36" i="6"/>
  <c r="O36" i="6"/>
  <c r="N36" i="6"/>
  <c r="M36" i="6"/>
  <c r="K36" i="6"/>
  <c r="J36" i="6"/>
  <c r="I36" i="6"/>
  <c r="H36" i="6"/>
  <c r="E36" i="6"/>
  <c r="D36" i="6"/>
  <c r="G36" i="6" s="1"/>
  <c r="C36" i="6"/>
  <c r="B36" i="6"/>
  <c r="A36" i="6"/>
  <c r="Q35" i="6"/>
  <c r="P35" i="6"/>
  <c r="O35" i="6"/>
  <c r="N35" i="6"/>
  <c r="M35" i="6"/>
  <c r="K35" i="6"/>
  <c r="J35" i="6"/>
  <c r="I35" i="6"/>
  <c r="H35" i="6"/>
  <c r="E35" i="6"/>
  <c r="D35" i="6"/>
  <c r="G35" i="6" s="1"/>
  <c r="C35" i="6"/>
  <c r="B35" i="6"/>
  <c r="A35" i="6"/>
  <c r="Q34" i="6"/>
  <c r="P34" i="6"/>
  <c r="O34" i="6"/>
  <c r="N34" i="6"/>
  <c r="M34" i="6"/>
  <c r="K34" i="6"/>
  <c r="J34" i="6"/>
  <c r="I34" i="6"/>
  <c r="H34" i="6"/>
  <c r="E34" i="6"/>
  <c r="D34" i="6"/>
  <c r="G34" i="6" s="1"/>
  <c r="C34" i="6"/>
  <c r="B34" i="6"/>
  <c r="A34" i="6"/>
  <c r="Q33" i="6"/>
  <c r="P33" i="6"/>
  <c r="O33" i="6"/>
  <c r="N33" i="6"/>
  <c r="M33" i="6"/>
  <c r="K33" i="6"/>
  <c r="J33" i="6"/>
  <c r="E33" i="6"/>
  <c r="D33" i="6"/>
  <c r="G33" i="6" s="1"/>
  <c r="C33" i="6"/>
  <c r="B33" i="6"/>
  <c r="A33" i="6"/>
  <c r="Q32" i="6"/>
  <c r="P32" i="6"/>
  <c r="O32" i="6"/>
  <c r="N32" i="6"/>
  <c r="M32" i="6"/>
  <c r="K32" i="6"/>
  <c r="J32" i="6"/>
  <c r="I32" i="6"/>
  <c r="H32" i="6"/>
  <c r="E32" i="6"/>
  <c r="D32" i="6"/>
  <c r="G32" i="6" s="1"/>
  <c r="C32" i="6"/>
  <c r="B32" i="6"/>
  <c r="A32" i="6"/>
  <c r="Q31" i="6"/>
  <c r="P31" i="6"/>
  <c r="O31" i="6"/>
  <c r="N31" i="6"/>
  <c r="M31" i="6"/>
  <c r="K31" i="6"/>
  <c r="J31" i="6"/>
  <c r="I31" i="6"/>
  <c r="H31" i="6"/>
  <c r="G31" i="6"/>
  <c r="E31" i="6"/>
  <c r="D31" i="6"/>
  <c r="C31" i="6"/>
  <c r="B31" i="6"/>
  <c r="A31" i="6"/>
  <c r="Q30" i="6"/>
  <c r="P30" i="6"/>
  <c r="O30" i="6"/>
  <c r="N30" i="6"/>
  <c r="M30" i="6"/>
  <c r="K30" i="6"/>
  <c r="J30" i="6"/>
  <c r="I30" i="6"/>
  <c r="H30" i="6"/>
  <c r="G30" i="6"/>
  <c r="E30" i="6"/>
  <c r="D30" i="6"/>
  <c r="C30" i="6"/>
  <c r="B30" i="6"/>
  <c r="A30" i="6"/>
  <c r="Q29" i="6"/>
  <c r="P29" i="6"/>
  <c r="O29" i="6"/>
  <c r="N29" i="6"/>
  <c r="M29" i="6"/>
  <c r="K29" i="6"/>
  <c r="J29" i="6"/>
  <c r="I29" i="6"/>
  <c r="H29" i="6"/>
  <c r="E29" i="6"/>
  <c r="D29" i="6"/>
  <c r="G29" i="6" s="1"/>
  <c r="C29" i="6"/>
  <c r="B29" i="6"/>
  <c r="A29" i="6"/>
  <c r="Q28" i="6"/>
  <c r="P28" i="6"/>
  <c r="O28" i="6"/>
  <c r="N28" i="6"/>
  <c r="M28" i="6"/>
  <c r="K28" i="6"/>
  <c r="J28" i="6"/>
  <c r="I28" i="6"/>
  <c r="H28" i="6"/>
  <c r="E28" i="6"/>
  <c r="D28" i="6"/>
  <c r="G28" i="6" s="1"/>
  <c r="C28" i="6"/>
  <c r="B28" i="6"/>
  <c r="A28" i="6"/>
  <c r="Q27" i="6"/>
  <c r="P27" i="6"/>
  <c r="O27" i="6"/>
  <c r="N27" i="6"/>
  <c r="M27" i="6"/>
  <c r="K27" i="6"/>
  <c r="J27" i="6"/>
  <c r="I27" i="6"/>
  <c r="H27" i="6"/>
  <c r="G27" i="6"/>
  <c r="E27" i="6"/>
  <c r="D27" i="6"/>
  <c r="C27" i="6"/>
  <c r="B27" i="6"/>
  <c r="A27" i="6"/>
  <c r="Q26" i="6"/>
  <c r="P26" i="6"/>
  <c r="O26" i="6"/>
  <c r="N26" i="6"/>
  <c r="M26" i="6"/>
  <c r="K26" i="6"/>
  <c r="J26" i="6"/>
  <c r="I26" i="6"/>
  <c r="H26" i="6"/>
  <c r="G26" i="6"/>
  <c r="E26" i="6"/>
  <c r="D26" i="6"/>
  <c r="C26" i="6"/>
  <c r="B26" i="6"/>
  <c r="A26" i="6"/>
  <c r="Q25" i="6"/>
  <c r="P25" i="6"/>
  <c r="O25" i="6"/>
  <c r="N25" i="6"/>
  <c r="M25" i="6"/>
  <c r="K25" i="6"/>
  <c r="J25" i="6"/>
  <c r="I25" i="6"/>
  <c r="H25" i="6"/>
  <c r="E25" i="6"/>
  <c r="D25" i="6"/>
  <c r="G25" i="6" s="1"/>
  <c r="C25" i="6"/>
  <c r="B25" i="6"/>
  <c r="A25" i="6"/>
  <c r="R24" i="6"/>
  <c r="S24" i="6" s="1"/>
  <c r="Q24" i="6"/>
  <c r="P24" i="6"/>
  <c r="O24" i="6"/>
  <c r="N24" i="6"/>
  <c r="M24" i="6"/>
  <c r="K24" i="6"/>
  <c r="J24" i="6"/>
  <c r="I24" i="6"/>
  <c r="H24" i="6"/>
  <c r="E24" i="6"/>
  <c r="D24" i="6"/>
  <c r="G24" i="6" s="1"/>
  <c r="C24" i="6"/>
  <c r="B24" i="6"/>
  <c r="A24" i="6"/>
  <c r="Q23" i="6"/>
  <c r="P23" i="6"/>
  <c r="O23" i="6"/>
  <c r="N23" i="6"/>
  <c r="M23" i="6"/>
  <c r="K23" i="6"/>
  <c r="J23" i="6"/>
  <c r="I23" i="6"/>
  <c r="H23" i="6"/>
  <c r="E23" i="6"/>
  <c r="D23" i="6"/>
  <c r="G23" i="6" s="1"/>
  <c r="C23" i="6"/>
  <c r="B23" i="6"/>
  <c r="A23" i="6"/>
  <c r="Q22" i="6"/>
  <c r="P22" i="6"/>
  <c r="O22" i="6"/>
  <c r="N22" i="6"/>
  <c r="M22" i="6"/>
  <c r="K22" i="6"/>
  <c r="J22" i="6"/>
  <c r="I22" i="6"/>
  <c r="H22" i="6"/>
  <c r="G22" i="6"/>
  <c r="E22" i="6"/>
  <c r="D22" i="6"/>
  <c r="C22" i="6"/>
  <c r="B22" i="6"/>
  <c r="A22" i="6"/>
  <c r="Q21" i="6"/>
  <c r="P21" i="6"/>
  <c r="O21" i="6"/>
  <c r="N21" i="6"/>
  <c r="M21" i="6"/>
  <c r="K21" i="6"/>
  <c r="J21" i="6"/>
  <c r="I21" i="6"/>
  <c r="H21" i="6"/>
  <c r="D21" i="6"/>
  <c r="G21" i="6" s="1"/>
  <c r="C21" i="6"/>
  <c r="B21" i="6"/>
  <c r="A21" i="6"/>
  <c r="Q20" i="6"/>
  <c r="P20" i="6"/>
  <c r="O20" i="6"/>
  <c r="N20" i="6"/>
  <c r="M20" i="6"/>
  <c r="K20" i="6"/>
  <c r="J20" i="6"/>
  <c r="I20" i="6"/>
  <c r="H20" i="6"/>
  <c r="E20" i="6"/>
  <c r="D20" i="6"/>
  <c r="G20" i="6" s="1"/>
  <c r="C20" i="6"/>
  <c r="B20" i="6"/>
  <c r="A20" i="6"/>
  <c r="Q19" i="6"/>
  <c r="P19" i="6"/>
  <c r="O19" i="6"/>
  <c r="N19" i="6"/>
  <c r="M19" i="6"/>
  <c r="K19" i="6"/>
  <c r="J19" i="6"/>
  <c r="I19" i="6"/>
  <c r="H19" i="6"/>
  <c r="E19" i="6"/>
  <c r="D19" i="6"/>
  <c r="G19" i="6" s="1"/>
  <c r="C19" i="6"/>
  <c r="B19" i="6"/>
  <c r="A19" i="6"/>
  <c r="Q18" i="6"/>
  <c r="P18" i="6"/>
  <c r="O18" i="6"/>
  <c r="N18" i="6"/>
  <c r="M18" i="6"/>
  <c r="K18" i="6"/>
  <c r="J18" i="6"/>
  <c r="I18" i="6"/>
  <c r="H18" i="6"/>
  <c r="G18" i="6"/>
  <c r="E18" i="6"/>
  <c r="D18" i="6"/>
  <c r="C18" i="6"/>
  <c r="B18" i="6"/>
  <c r="A18" i="6"/>
  <c r="Q17" i="6"/>
  <c r="P17" i="6"/>
  <c r="O17" i="6"/>
  <c r="N17" i="6"/>
  <c r="M17" i="6"/>
  <c r="K17" i="6"/>
  <c r="J17" i="6"/>
  <c r="I17" i="6"/>
  <c r="H17" i="6"/>
  <c r="G17" i="6"/>
  <c r="E17" i="6"/>
  <c r="D17" i="6"/>
  <c r="C17" i="6"/>
  <c r="B17" i="6"/>
  <c r="A17" i="6"/>
  <c r="Q16" i="6"/>
  <c r="P16" i="6"/>
  <c r="O16" i="6"/>
  <c r="N16" i="6"/>
  <c r="M16" i="6"/>
  <c r="K16" i="6"/>
  <c r="J16" i="6"/>
  <c r="I16" i="6"/>
  <c r="H16" i="6"/>
  <c r="E16" i="6"/>
  <c r="D16" i="6"/>
  <c r="G16" i="6" s="1"/>
  <c r="C16" i="6"/>
  <c r="B16" i="6"/>
  <c r="A16" i="6"/>
  <c r="Q15" i="6"/>
  <c r="P15" i="6"/>
  <c r="O15" i="6"/>
  <c r="N15" i="6"/>
  <c r="M15" i="6"/>
  <c r="K15" i="6"/>
  <c r="J15" i="6"/>
  <c r="I15" i="6"/>
  <c r="H15" i="6"/>
  <c r="E15" i="6"/>
  <c r="D15" i="6"/>
  <c r="G15" i="6" s="1"/>
  <c r="C15" i="6"/>
  <c r="B15" i="6"/>
  <c r="A15" i="6"/>
  <c r="Q14" i="6"/>
  <c r="P14" i="6"/>
  <c r="O14" i="6"/>
  <c r="N14" i="6"/>
  <c r="M14" i="6"/>
  <c r="K14" i="6"/>
  <c r="J14" i="6"/>
  <c r="I14" i="6"/>
  <c r="H14" i="6"/>
  <c r="G14" i="6"/>
  <c r="E14" i="6"/>
  <c r="D14" i="6"/>
  <c r="C14" i="6"/>
  <c r="B14" i="6"/>
  <c r="A14" i="6"/>
  <c r="Q13" i="6"/>
  <c r="P13" i="6"/>
  <c r="O13" i="6"/>
  <c r="N13" i="6"/>
  <c r="M13" i="6"/>
  <c r="K13" i="6"/>
  <c r="J13" i="6"/>
  <c r="I13" i="6"/>
  <c r="H13" i="6"/>
  <c r="G13" i="6"/>
  <c r="E13" i="6"/>
  <c r="D13" i="6"/>
  <c r="C13" i="6"/>
  <c r="B13" i="6"/>
  <c r="A13" i="6"/>
  <c r="Q12" i="6"/>
  <c r="P12" i="6"/>
  <c r="O12" i="6"/>
  <c r="N12" i="6"/>
  <c r="M12" i="6"/>
  <c r="K12" i="6"/>
  <c r="J12" i="6"/>
  <c r="I12" i="6"/>
  <c r="D12" i="6"/>
  <c r="G12" i="6" s="1"/>
  <c r="C12" i="6"/>
  <c r="B12" i="6"/>
  <c r="A12" i="6"/>
  <c r="Q11" i="6"/>
  <c r="P11" i="6"/>
  <c r="O11" i="6"/>
  <c r="N11" i="6"/>
  <c r="M11" i="6"/>
  <c r="K11" i="6"/>
  <c r="J11" i="6"/>
  <c r="I11" i="6"/>
  <c r="H11" i="6"/>
  <c r="E11" i="6"/>
  <c r="D11" i="6"/>
  <c r="G11" i="6" s="1"/>
  <c r="C11" i="6"/>
  <c r="B11" i="6"/>
  <c r="A11" i="6"/>
  <c r="Q10" i="6"/>
  <c r="P10" i="6"/>
  <c r="O10" i="6"/>
  <c r="N10" i="6"/>
  <c r="M10" i="6"/>
  <c r="K10" i="6"/>
  <c r="J10" i="6"/>
  <c r="D10" i="6"/>
  <c r="G10" i="6" s="1"/>
  <c r="C10" i="6"/>
  <c r="B10" i="6"/>
  <c r="A10" i="6"/>
  <c r="Q9" i="6"/>
  <c r="P9" i="6"/>
  <c r="O9" i="6"/>
  <c r="N9" i="6"/>
  <c r="M9" i="6"/>
  <c r="K9" i="6"/>
  <c r="J9" i="6"/>
  <c r="I9" i="6"/>
  <c r="H9" i="6"/>
  <c r="G9" i="6"/>
  <c r="E9" i="6"/>
  <c r="D9" i="6"/>
  <c r="C9" i="6"/>
  <c r="B9" i="6"/>
  <c r="A9" i="6"/>
  <c r="Q8" i="6"/>
  <c r="P8" i="6"/>
  <c r="O8" i="6"/>
  <c r="N8" i="6"/>
  <c r="M8" i="6"/>
  <c r="K8" i="6"/>
  <c r="J8" i="6"/>
  <c r="I8" i="6"/>
  <c r="H8" i="6"/>
  <c r="G8" i="6"/>
  <c r="E8" i="6"/>
  <c r="D8" i="6"/>
  <c r="C8" i="6"/>
  <c r="B8" i="6"/>
  <c r="A8" i="6"/>
  <c r="O234" i="5"/>
  <c r="N234" i="5"/>
  <c r="G234" i="5"/>
  <c r="F234" i="5"/>
  <c r="E234" i="5"/>
  <c r="D234" i="5"/>
  <c r="C234" i="5"/>
  <c r="B234" i="5"/>
  <c r="A234" i="5"/>
  <c r="O233" i="5"/>
  <c r="N233" i="5"/>
  <c r="G233" i="5"/>
  <c r="F233" i="5"/>
  <c r="E233" i="5"/>
  <c r="D233" i="5"/>
  <c r="C233" i="5"/>
  <c r="B233" i="5"/>
  <c r="A233" i="5"/>
  <c r="O232" i="5"/>
  <c r="N232" i="5"/>
  <c r="G232" i="5"/>
  <c r="F232" i="5"/>
  <c r="E232" i="5"/>
  <c r="D232" i="5"/>
  <c r="C232" i="5"/>
  <c r="B232" i="5"/>
  <c r="A232" i="5"/>
  <c r="O231" i="5"/>
  <c r="N231" i="5"/>
  <c r="G231" i="5"/>
  <c r="F231" i="5"/>
  <c r="E231" i="5"/>
  <c r="D231" i="5"/>
  <c r="C231" i="5"/>
  <c r="B231" i="5"/>
  <c r="A231" i="5"/>
  <c r="O230" i="5"/>
  <c r="N230" i="5"/>
  <c r="G230" i="5"/>
  <c r="F230" i="5"/>
  <c r="E230" i="5"/>
  <c r="D230" i="5"/>
  <c r="C230" i="5"/>
  <c r="B230" i="5"/>
  <c r="A230" i="5"/>
  <c r="B228" i="5"/>
  <c r="F226" i="5"/>
  <c r="F225" i="5"/>
  <c r="O222" i="5"/>
  <c r="N222" i="5"/>
  <c r="G222" i="5"/>
  <c r="F222" i="5"/>
  <c r="E222" i="5"/>
  <c r="D222" i="5"/>
  <c r="C222" i="5"/>
  <c r="B222" i="5"/>
  <c r="A222" i="5"/>
  <c r="O221" i="5"/>
  <c r="N221" i="5"/>
  <c r="G221" i="5"/>
  <c r="F221" i="5"/>
  <c r="E221" i="5"/>
  <c r="D221" i="5"/>
  <c r="C221" i="5"/>
  <c r="B221" i="5"/>
  <c r="A221" i="5"/>
  <c r="O220" i="5"/>
  <c r="N220" i="5"/>
  <c r="G220" i="5"/>
  <c r="F220" i="5"/>
  <c r="E220" i="5"/>
  <c r="D220" i="5"/>
  <c r="C220" i="5"/>
  <c r="B220" i="5"/>
  <c r="A220" i="5"/>
  <c r="O219" i="5"/>
  <c r="N219" i="5"/>
  <c r="G219" i="5"/>
  <c r="F219" i="5"/>
  <c r="E219" i="5"/>
  <c r="D219" i="5"/>
  <c r="C219" i="5"/>
  <c r="B219" i="5"/>
  <c r="A219" i="5"/>
  <c r="O218" i="5"/>
  <c r="N218" i="5"/>
  <c r="G218" i="5"/>
  <c r="F218" i="5"/>
  <c r="E218" i="5"/>
  <c r="D218" i="5"/>
  <c r="C218" i="5"/>
  <c r="B218" i="5"/>
  <c r="A218" i="5"/>
  <c r="O217" i="5"/>
  <c r="N217" i="5"/>
  <c r="G217" i="5"/>
  <c r="F217" i="5"/>
  <c r="E217" i="5"/>
  <c r="D217" i="5"/>
  <c r="C217" i="5"/>
  <c r="B217" i="5"/>
  <c r="A217" i="5"/>
  <c r="O216" i="5"/>
  <c r="N216" i="5"/>
  <c r="G216" i="5"/>
  <c r="F216" i="5"/>
  <c r="E216" i="5"/>
  <c r="D216" i="5"/>
  <c r="C216" i="5"/>
  <c r="B216" i="5"/>
  <c r="A216" i="5"/>
  <c r="B214" i="5"/>
  <c r="F212" i="5"/>
  <c r="G210" i="5"/>
  <c r="O209" i="5"/>
  <c r="N209" i="5"/>
  <c r="G209" i="5"/>
  <c r="F209" i="5"/>
  <c r="E209" i="5"/>
  <c r="D209" i="5"/>
  <c r="C209" i="5"/>
  <c r="B209" i="5"/>
  <c r="A209" i="5"/>
  <c r="O208" i="5"/>
  <c r="N208" i="5"/>
  <c r="G208" i="5"/>
  <c r="F208" i="5"/>
  <c r="E208" i="5"/>
  <c r="D208" i="5"/>
  <c r="C208" i="5"/>
  <c r="B208" i="5"/>
  <c r="A208" i="5"/>
  <c r="B205" i="5"/>
  <c r="F202" i="5"/>
  <c r="F201" i="5"/>
  <c r="A198" i="5"/>
  <c r="O196" i="5"/>
  <c r="N196" i="5"/>
  <c r="R187" i="6" s="1"/>
  <c r="G196" i="5"/>
  <c r="F196" i="5"/>
  <c r="E196" i="5"/>
  <c r="D196" i="5"/>
  <c r="C196" i="5"/>
  <c r="B196" i="5"/>
  <c r="A196" i="5"/>
  <c r="O195" i="5"/>
  <c r="N195" i="5"/>
  <c r="R186" i="6" s="1"/>
  <c r="G195" i="5"/>
  <c r="F195" i="5"/>
  <c r="E195" i="5"/>
  <c r="D195" i="5"/>
  <c r="C195" i="5"/>
  <c r="B195" i="5"/>
  <c r="A195" i="5"/>
  <c r="O194" i="5"/>
  <c r="N194" i="5"/>
  <c r="R185" i="6" s="1"/>
  <c r="G194" i="5"/>
  <c r="F194" i="5"/>
  <c r="E194" i="5"/>
  <c r="D194" i="5"/>
  <c r="C194" i="5"/>
  <c r="B194" i="5"/>
  <c r="A194" i="5"/>
  <c r="O193" i="5"/>
  <c r="N193" i="5"/>
  <c r="R184" i="6" s="1"/>
  <c r="G193" i="5"/>
  <c r="F193" i="5"/>
  <c r="E193" i="5"/>
  <c r="D193" i="5"/>
  <c r="C193" i="5"/>
  <c r="B193" i="5"/>
  <c r="A193" i="5"/>
  <c r="O192" i="5"/>
  <c r="N192" i="5"/>
  <c r="R183" i="6" s="1"/>
  <c r="G192" i="5"/>
  <c r="F192" i="5"/>
  <c r="E192" i="5"/>
  <c r="D192" i="5"/>
  <c r="C192" i="5"/>
  <c r="B192" i="5"/>
  <c r="A192" i="5"/>
  <c r="O191" i="5"/>
  <c r="N191" i="5"/>
  <c r="R182" i="6" s="1"/>
  <c r="G191" i="5"/>
  <c r="F191" i="5"/>
  <c r="E191" i="5"/>
  <c r="D191" i="5"/>
  <c r="C191" i="5"/>
  <c r="B191" i="5"/>
  <c r="A191" i="5"/>
  <c r="O190" i="5"/>
  <c r="N190" i="5"/>
  <c r="R181" i="6" s="1"/>
  <c r="G190" i="5"/>
  <c r="F190" i="5"/>
  <c r="E190" i="5"/>
  <c r="D190" i="5"/>
  <c r="C190" i="5"/>
  <c r="B190" i="5"/>
  <c r="A190" i="5"/>
  <c r="O189" i="5"/>
  <c r="N189" i="5"/>
  <c r="R180" i="6" s="1"/>
  <c r="G189" i="5"/>
  <c r="F189" i="5"/>
  <c r="E189" i="5"/>
  <c r="D189" i="5"/>
  <c r="C189" i="5"/>
  <c r="B189" i="5"/>
  <c r="A189" i="5"/>
  <c r="O188" i="5"/>
  <c r="N188" i="5"/>
  <c r="R179" i="6" s="1"/>
  <c r="G188" i="5"/>
  <c r="F188" i="5"/>
  <c r="E188" i="5"/>
  <c r="D188" i="5"/>
  <c r="C188" i="5"/>
  <c r="B188" i="5"/>
  <c r="A188" i="5"/>
  <c r="O187" i="5"/>
  <c r="N187" i="5"/>
  <c r="R178" i="6" s="1"/>
  <c r="G187" i="5"/>
  <c r="F187" i="5"/>
  <c r="E187" i="5"/>
  <c r="D187" i="5"/>
  <c r="C187" i="5"/>
  <c r="B187" i="5"/>
  <c r="A187" i="5"/>
  <c r="O186" i="5"/>
  <c r="N186" i="5"/>
  <c r="R177" i="6" s="1"/>
  <c r="G186" i="5"/>
  <c r="F186" i="5"/>
  <c r="E186" i="5"/>
  <c r="D186" i="5"/>
  <c r="C186" i="5"/>
  <c r="B186" i="5"/>
  <c r="A186" i="5"/>
  <c r="O185" i="5"/>
  <c r="N185" i="5"/>
  <c r="R176" i="6" s="1"/>
  <c r="G185" i="5"/>
  <c r="F185" i="5"/>
  <c r="E185" i="5"/>
  <c r="D185" i="5"/>
  <c r="C185" i="5"/>
  <c r="B185" i="5"/>
  <c r="A185" i="5"/>
  <c r="B182" i="5"/>
  <c r="N180" i="5"/>
  <c r="E180" i="5"/>
  <c r="D180" i="5"/>
  <c r="C180" i="5"/>
  <c r="B180" i="5"/>
  <c r="A180" i="5"/>
  <c r="N179" i="5"/>
  <c r="G179" i="5"/>
  <c r="F179" i="5"/>
  <c r="E179" i="5"/>
  <c r="D179" i="5"/>
  <c r="C179" i="5"/>
  <c r="B179" i="5"/>
  <c r="A179" i="5"/>
  <c r="N178" i="5"/>
  <c r="R169" i="6" s="1"/>
  <c r="S169" i="6" s="1"/>
  <c r="G178" i="5"/>
  <c r="F178" i="5"/>
  <c r="E178" i="5"/>
  <c r="D178" i="5"/>
  <c r="C178" i="5"/>
  <c r="B178" i="5"/>
  <c r="A178" i="5"/>
  <c r="N177" i="5"/>
  <c r="R168" i="6" s="1"/>
  <c r="S168" i="6" s="1"/>
  <c r="G177" i="5"/>
  <c r="F177" i="5"/>
  <c r="E177" i="5"/>
  <c r="D177" i="5"/>
  <c r="C177" i="5"/>
  <c r="B177" i="5"/>
  <c r="A177" i="5"/>
  <c r="N176" i="5"/>
  <c r="R167" i="6" s="1"/>
  <c r="G176" i="5"/>
  <c r="F176" i="5"/>
  <c r="E176" i="5"/>
  <c r="D176" i="5"/>
  <c r="C176" i="5"/>
  <c r="B176" i="5"/>
  <c r="A176" i="5"/>
  <c r="N175" i="5"/>
  <c r="R166" i="6" s="1"/>
  <c r="S166" i="6" s="1"/>
  <c r="G175" i="5"/>
  <c r="F175" i="5"/>
  <c r="E175" i="5"/>
  <c r="D175" i="5"/>
  <c r="C175" i="5"/>
  <c r="B175" i="5"/>
  <c r="A175" i="5"/>
  <c r="O174" i="5"/>
  <c r="N174" i="5"/>
  <c r="R165" i="6" s="1"/>
  <c r="S165" i="6" s="1"/>
  <c r="G174" i="5"/>
  <c r="F174" i="5"/>
  <c r="E174" i="5"/>
  <c r="D174" i="5"/>
  <c r="C174" i="5"/>
  <c r="B174" i="5"/>
  <c r="A174" i="5"/>
  <c r="O173" i="5"/>
  <c r="N173" i="5"/>
  <c r="R164" i="6" s="1"/>
  <c r="S164" i="6" s="1"/>
  <c r="G173" i="5"/>
  <c r="F173" i="5"/>
  <c r="E173" i="5"/>
  <c r="D173" i="5"/>
  <c r="C173" i="5"/>
  <c r="B173" i="5"/>
  <c r="A173" i="5"/>
  <c r="O172" i="5"/>
  <c r="N172" i="5"/>
  <c r="R163" i="6" s="1"/>
  <c r="S163" i="6" s="1"/>
  <c r="G172" i="5"/>
  <c r="F172" i="5"/>
  <c r="E172" i="5"/>
  <c r="D172" i="5"/>
  <c r="C172" i="5"/>
  <c r="B172" i="5"/>
  <c r="A172" i="5"/>
  <c r="N171" i="5"/>
  <c r="R162" i="6" s="1"/>
  <c r="S162" i="6" s="1"/>
  <c r="G171" i="5"/>
  <c r="F171" i="5"/>
  <c r="E171" i="5"/>
  <c r="D171" i="5"/>
  <c r="C171" i="5"/>
  <c r="B171" i="5"/>
  <c r="A171" i="5"/>
  <c r="O170" i="5"/>
  <c r="N170" i="5"/>
  <c r="R161" i="6" s="1"/>
  <c r="S161" i="6" s="1"/>
  <c r="G170" i="5"/>
  <c r="F170" i="5"/>
  <c r="E170" i="5"/>
  <c r="D170" i="5"/>
  <c r="C170" i="5"/>
  <c r="B170" i="5"/>
  <c r="A170" i="5"/>
  <c r="O169" i="5"/>
  <c r="N169" i="5"/>
  <c r="R160" i="6" s="1"/>
  <c r="S160" i="6" s="1"/>
  <c r="G169" i="5"/>
  <c r="F169" i="5"/>
  <c r="E169" i="5"/>
  <c r="D169" i="5"/>
  <c r="C169" i="5"/>
  <c r="B169" i="5"/>
  <c r="A169" i="5"/>
  <c r="O168" i="5"/>
  <c r="N168" i="5"/>
  <c r="R159" i="6" s="1"/>
  <c r="S159" i="6" s="1"/>
  <c r="G168" i="5"/>
  <c r="F168" i="5"/>
  <c r="E168" i="5"/>
  <c r="D168" i="5"/>
  <c r="C168" i="5"/>
  <c r="B168" i="5"/>
  <c r="A168" i="5"/>
  <c r="O167" i="5"/>
  <c r="N167" i="5"/>
  <c r="G167" i="5"/>
  <c r="F167" i="5"/>
  <c r="E167" i="5"/>
  <c r="D167" i="5"/>
  <c r="C167" i="5"/>
  <c r="B167" i="5"/>
  <c r="A167" i="5"/>
  <c r="O166" i="5"/>
  <c r="N166" i="5"/>
  <c r="R157" i="6" s="1"/>
  <c r="S157" i="6" s="1"/>
  <c r="G166" i="5"/>
  <c r="F166" i="5"/>
  <c r="E166" i="5"/>
  <c r="D166" i="5"/>
  <c r="C166" i="5"/>
  <c r="B166" i="5"/>
  <c r="A166" i="5"/>
  <c r="O165" i="5"/>
  <c r="N165" i="5"/>
  <c r="R156" i="6" s="1"/>
  <c r="S156" i="6" s="1"/>
  <c r="G165" i="5"/>
  <c r="F165" i="5"/>
  <c r="E165" i="5"/>
  <c r="D165" i="5"/>
  <c r="C165" i="5"/>
  <c r="B165" i="5"/>
  <c r="A165" i="5"/>
  <c r="O164" i="5"/>
  <c r="N164" i="5"/>
  <c r="R155" i="6" s="1"/>
  <c r="S155" i="6" s="1"/>
  <c r="G164" i="5"/>
  <c r="F164" i="5"/>
  <c r="E164" i="5"/>
  <c r="D164" i="5"/>
  <c r="C164" i="5"/>
  <c r="B164" i="5"/>
  <c r="A164" i="5"/>
  <c r="O163" i="5"/>
  <c r="N163" i="5"/>
  <c r="R154" i="6" s="1"/>
  <c r="S154" i="6" s="1"/>
  <c r="G163" i="5"/>
  <c r="F163" i="5"/>
  <c r="E163" i="5"/>
  <c r="D163" i="5"/>
  <c r="C163" i="5"/>
  <c r="B163" i="5"/>
  <c r="A163" i="5"/>
  <c r="O162" i="5"/>
  <c r="N162" i="5"/>
  <c r="R153" i="6" s="1"/>
  <c r="S153" i="6" s="1"/>
  <c r="G162" i="5"/>
  <c r="F162" i="5"/>
  <c r="E162" i="5"/>
  <c r="D162" i="5"/>
  <c r="C162" i="5"/>
  <c r="B162" i="5"/>
  <c r="A162" i="5"/>
  <c r="O161" i="5"/>
  <c r="N161" i="5"/>
  <c r="R152" i="6" s="1"/>
  <c r="S152" i="6" s="1"/>
  <c r="G161" i="5"/>
  <c r="F161" i="5"/>
  <c r="E161" i="5"/>
  <c r="D161" i="5"/>
  <c r="C161" i="5"/>
  <c r="B161" i="5"/>
  <c r="A161" i="5"/>
  <c r="O160" i="5"/>
  <c r="N160" i="5"/>
  <c r="R151" i="6" s="1"/>
  <c r="G160" i="5"/>
  <c r="F160" i="5"/>
  <c r="E160" i="5"/>
  <c r="D160" i="5"/>
  <c r="C160" i="5"/>
  <c r="B160" i="5"/>
  <c r="A160" i="5"/>
  <c r="O159" i="5"/>
  <c r="N159" i="5"/>
  <c r="R150" i="6" s="1"/>
  <c r="S150" i="6" s="1"/>
  <c r="G159" i="5"/>
  <c r="F159" i="5"/>
  <c r="E159" i="5"/>
  <c r="D159" i="5"/>
  <c r="C159" i="5"/>
  <c r="B159" i="5"/>
  <c r="A159" i="5"/>
  <c r="O158" i="5"/>
  <c r="N158" i="5"/>
  <c r="R149" i="6" s="1"/>
  <c r="S149" i="6" s="1"/>
  <c r="G158" i="5"/>
  <c r="F158" i="5"/>
  <c r="E158" i="5"/>
  <c r="D158" i="5"/>
  <c r="C158" i="5"/>
  <c r="B158" i="5"/>
  <c r="A158" i="5"/>
  <c r="O157" i="5"/>
  <c r="N157" i="5"/>
  <c r="R148" i="6" s="1"/>
  <c r="S148" i="6" s="1"/>
  <c r="G157" i="5"/>
  <c r="F157" i="5"/>
  <c r="E157" i="5"/>
  <c r="D157" i="5"/>
  <c r="C157" i="5"/>
  <c r="B157" i="5"/>
  <c r="A157" i="5"/>
  <c r="O156" i="5"/>
  <c r="N156" i="5"/>
  <c r="R147" i="6" s="1"/>
  <c r="S147" i="6" s="1"/>
  <c r="G156" i="5"/>
  <c r="F156" i="5"/>
  <c r="E156" i="5"/>
  <c r="D156" i="5"/>
  <c r="C156" i="5"/>
  <c r="B156" i="5"/>
  <c r="A156" i="5"/>
  <c r="O155" i="5"/>
  <c r="N155" i="5"/>
  <c r="R146" i="6" s="1"/>
  <c r="S146" i="6" s="1"/>
  <c r="G155" i="5"/>
  <c r="F155" i="5"/>
  <c r="E155" i="5"/>
  <c r="D155" i="5"/>
  <c r="C155" i="5"/>
  <c r="B155" i="5"/>
  <c r="A155" i="5"/>
  <c r="O154" i="5"/>
  <c r="N154" i="5"/>
  <c r="R145" i="6" s="1"/>
  <c r="S145" i="6" s="1"/>
  <c r="G154" i="5"/>
  <c r="F154" i="5"/>
  <c r="E154" i="5"/>
  <c r="D154" i="5"/>
  <c r="C154" i="5"/>
  <c r="B154" i="5"/>
  <c r="A154" i="5"/>
  <c r="O153" i="5"/>
  <c r="N153" i="5"/>
  <c r="R144" i="6" s="1"/>
  <c r="S144" i="6" s="1"/>
  <c r="G153" i="5"/>
  <c r="F153" i="5"/>
  <c r="E153" i="5"/>
  <c r="D153" i="5"/>
  <c r="C153" i="5"/>
  <c r="B153" i="5"/>
  <c r="A153" i="5"/>
  <c r="O152" i="5"/>
  <c r="N152" i="5"/>
  <c r="R143" i="6" s="1"/>
  <c r="S143" i="6" s="1"/>
  <c r="G152" i="5"/>
  <c r="F152" i="5"/>
  <c r="E152" i="5"/>
  <c r="D152" i="5"/>
  <c r="C152" i="5"/>
  <c r="B152" i="5"/>
  <c r="A152" i="5"/>
  <c r="O151" i="5"/>
  <c r="N151" i="5"/>
  <c r="R142" i="6" s="1"/>
  <c r="S142" i="6" s="1"/>
  <c r="G151" i="5"/>
  <c r="F151" i="5"/>
  <c r="E151" i="5"/>
  <c r="D151" i="5"/>
  <c r="C151" i="5"/>
  <c r="B151" i="5"/>
  <c r="A151" i="5"/>
  <c r="G149" i="5"/>
  <c r="G148" i="5"/>
  <c r="B148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B144" i="5"/>
  <c r="A144" i="5"/>
  <c r="O143" i="5"/>
  <c r="N143" i="5"/>
  <c r="R136" i="6" s="1"/>
  <c r="S136" i="6" s="1"/>
  <c r="G143" i="5"/>
  <c r="F143" i="5"/>
  <c r="E143" i="5"/>
  <c r="D143" i="5"/>
  <c r="C143" i="5"/>
  <c r="B143" i="5"/>
  <c r="A143" i="5"/>
  <c r="O142" i="5"/>
  <c r="N142" i="5"/>
  <c r="R133" i="6" s="1"/>
  <c r="S133" i="6" s="1"/>
  <c r="G142" i="5"/>
  <c r="F142" i="5"/>
  <c r="E142" i="5"/>
  <c r="D142" i="5"/>
  <c r="C142" i="5"/>
  <c r="B142" i="5"/>
  <c r="A142" i="5"/>
  <c r="O141" i="5"/>
  <c r="N141" i="5"/>
  <c r="R134" i="6" s="1"/>
  <c r="G141" i="5"/>
  <c r="F141" i="5"/>
  <c r="E141" i="5"/>
  <c r="D141" i="5"/>
  <c r="C141" i="5"/>
  <c r="B141" i="5"/>
  <c r="A141" i="5"/>
  <c r="O140" i="5"/>
  <c r="N140" i="5"/>
  <c r="G140" i="5"/>
  <c r="F140" i="5"/>
  <c r="E140" i="5"/>
  <c r="D140" i="5"/>
  <c r="C140" i="5"/>
  <c r="B140" i="5"/>
  <c r="A140" i="5"/>
  <c r="O139" i="5"/>
  <c r="N139" i="5"/>
  <c r="R132" i="6" s="1"/>
  <c r="S132" i="6" s="1"/>
  <c r="G139" i="5"/>
  <c r="F139" i="5"/>
  <c r="E139" i="5"/>
  <c r="D139" i="5"/>
  <c r="C139" i="5"/>
  <c r="B139" i="5"/>
  <c r="A139" i="5"/>
  <c r="O138" i="5"/>
  <c r="N138" i="5"/>
  <c r="R131" i="6" s="1"/>
  <c r="S131" i="6" s="1"/>
  <c r="G138" i="5"/>
  <c r="F138" i="5"/>
  <c r="E138" i="5"/>
  <c r="D138" i="5"/>
  <c r="C138" i="5"/>
  <c r="B138" i="5"/>
  <c r="A138" i="5"/>
  <c r="G135" i="5"/>
  <c r="B135" i="5"/>
  <c r="O132" i="5"/>
  <c r="N132" i="5"/>
  <c r="R125" i="6" s="1"/>
  <c r="S125" i="6" s="1"/>
  <c r="G132" i="5"/>
  <c r="F132" i="5"/>
  <c r="E132" i="5"/>
  <c r="D132" i="5"/>
  <c r="C132" i="5"/>
  <c r="B132" i="5"/>
  <c r="A132" i="5"/>
  <c r="O131" i="5"/>
  <c r="N131" i="5"/>
  <c r="R124" i="6" s="1"/>
  <c r="S124" i="6" s="1"/>
  <c r="G131" i="5"/>
  <c r="F131" i="5"/>
  <c r="E131" i="5"/>
  <c r="D131" i="5"/>
  <c r="C131" i="5"/>
  <c r="B131" i="5"/>
  <c r="A131" i="5"/>
  <c r="O130" i="5"/>
  <c r="N130" i="5"/>
  <c r="R123" i="6" s="1"/>
  <c r="S123" i="6" s="1"/>
  <c r="G130" i="5"/>
  <c r="F130" i="5"/>
  <c r="E130" i="5"/>
  <c r="D130" i="5"/>
  <c r="C130" i="5"/>
  <c r="B130" i="5"/>
  <c r="A130" i="5"/>
  <c r="O129" i="5"/>
  <c r="N129" i="5"/>
  <c r="R122" i="6" s="1"/>
  <c r="G129" i="5"/>
  <c r="F129" i="5"/>
  <c r="E129" i="5"/>
  <c r="D129" i="5"/>
  <c r="C129" i="5"/>
  <c r="B129" i="5"/>
  <c r="A129" i="5"/>
  <c r="O128" i="5"/>
  <c r="N128" i="5"/>
  <c r="R121" i="6" s="1"/>
  <c r="S121" i="6" s="1"/>
  <c r="G128" i="5"/>
  <c r="F128" i="5"/>
  <c r="E128" i="5"/>
  <c r="D128" i="5"/>
  <c r="C128" i="5"/>
  <c r="B128" i="5"/>
  <c r="A128" i="5"/>
  <c r="O127" i="5"/>
  <c r="N127" i="5"/>
  <c r="R120" i="6" s="1"/>
  <c r="S120" i="6" s="1"/>
  <c r="G127" i="5"/>
  <c r="F127" i="5"/>
  <c r="E127" i="5"/>
  <c r="D127" i="5"/>
  <c r="C127" i="5"/>
  <c r="B127" i="5"/>
  <c r="A127" i="5"/>
  <c r="O126" i="5"/>
  <c r="N126" i="5"/>
  <c r="R119" i="6" s="1"/>
  <c r="G126" i="5"/>
  <c r="F126" i="5"/>
  <c r="E126" i="5"/>
  <c r="D126" i="5"/>
  <c r="C126" i="5"/>
  <c r="B126" i="5"/>
  <c r="A126" i="5"/>
  <c r="O125" i="5"/>
  <c r="N125" i="5"/>
  <c r="R118" i="6" s="1"/>
  <c r="S118" i="6" s="1"/>
  <c r="G125" i="5"/>
  <c r="F125" i="5"/>
  <c r="E125" i="5"/>
  <c r="D125" i="5"/>
  <c r="C125" i="5"/>
  <c r="B125" i="5"/>
  <c r="A125" i="5"/>
  <c r="O124" i="5"/>
  <c r="N124" i="5"/>
  <c r="R117" i="6" s="1"/>
  <c r="S117" i="6" s="1"/>
  <c r="G124" i="5"/>
  <c r="F124" i="5"/>
  <c r="E124" i="5"/>
  <c r="D124" i="5"/>
  <c r="C124" i="5"/>
  <c r="B124" i="5"/>
  <c r="A124" i="5"/>
  <c r="O123" i="5"/>
  <c r="H123" i="5"/>
  <c r="M116" i="6" s="1"/>
  <c r="G123" i="5"/>
  <c r="F123" i="5"/>
  <c r="E123" i="5"/>
  <c r="D123" i="5"/>
  <c r="C123" i="5"/>
  <c r="B123" i="5"/>
  <c r="A123" i="5"/>
  <c r="O122" i="5"/>
  <c r="N122" i="5"/>
  <c r="R115" i="6" s="1"/>
  <c r="G122" i="5"/>
  <c r="F122" i="5"/>
  <c r="E122" i="5"/>
  <c r="D122" i="5"/>
  <c r="C122" i="5"/>
  <c r="B122" i="5"/>
  <c r="A122" i="5"/>
  <c r="O121" i="5"/>
  <c r="N121" i="5"/>
  <c r="R114" i="6" s="1"/>
  <c r="S114" i="6" s="1"/>
  <c r="G121" i="5"/>
  <c r="F121" i="5"/>
  <c r="E121" i="5"/>
  <c r="D121" i="5"/>
  <c r="C121" i="5"/>
  <c r="B121" i="5"/>
  <c r="A121" i="5"/>
  <c r="O120" i="5"/>
  <c r="N120" i="5"/>
  <c r="R113" i="6" s="1"/>
  <c r="S113" i="6" s="1"/>
  <c r="G120" i="5"/>
  <c r="F120" i="5"/>
  <c r="E120" i="5"/>
  <c r="D120" i="5"/>
  <c r="C120" i="5"/>
  <c r="B120" i="5"/>
  <c r="A120" i="5"/>
  <c r="O119" i="5"/>
  <c r="N119" i="5"/>
  <c r="R112" i="6" s="1"/>
  <c r="G119" i="5"/>
  <c r="F119" i="5"/>
  <c r="E119" i="5"/>
  <c r="D119" i="5"/>
  <c r="C119" i="5"/>
  <c r="B119" i="5"/>
  <c r="A119" i="5"/>
  <c r="O118" i="5"/>
  <c r="N118" i="5"/>
  <c r="R111" i="6" s="1"/>
  <c r="S111" i="6" s="1"/>
  <c r="G118" i="5"/>
  <c r="F118" i="5"/>
  <c r="E118" i="5"/>
  <c r="D118" i="5"/>
  <c r="C118" i="5"/>
  <c r="B118" i="5"/>
  <c r="A118" i="5"/>
  <c r="O117" i="5"/>
  <c r="N117" i="5"/>
  <c r="R110" i="6" s="1"/>
  <c r="S110" i="6" s="1"/>
  <c r="G117" i="5"/>
  <c r="F117" i="5"/>
  <c r="E117" i="5"/>
  <c r="D117" i="5"/>
  <c r="C117" i="5"/>
  <c r="B117" i="5"/>
  <c r="A117" i="5"/>
  <c r="O116" i="5"/>
  <c r="N116" i="5"/>
  <c r="R109" i="6" s="1"/>
  <c r="S109" i="6" s="1"/>
  <c r="G116" i="5"/>
  <c r="F116" i="5"/>
  <c r="E116" i="5"/>
  <c r="D116" i="5"/>
  <c r="C116" i="5"/>
  <c r="B116" i="5"/>
  <c r="A116" i="5"/>
  <c r="O115" i="5"/>
  <c r="N115" i="5"/>
  <c r="R108" i="6" s="1"/>
  <c r="S108" i="6" s="1"/>
  <c r="G115" i="5"/>
  <c r="F115" i="5"/>
  <c r="E115" i="5"/>
  <c r="D115" i="5"/>
  <c r="C115" i="5"/>
  <c r="B115" i="5"/>
  <c r="A115" i="5"/>
  <c r="O114" i="5"/>
  <c r="N114" i="5"/>
  <c r="R107" i="6" s="1"/>
  <c r="S107" i="6" s="1"/>
  <c r="G114" i="5"/>
  <c r="F114" i="5"/>
  <c r="E114" i="5"/>
  <c r="D114" i="5"/>
  <c r="C114" i="5"/>
  <c r="B114" i="5"/>
  <c r="A114" i="5"/>
  <c r="O113" i="5"/>
  <c r="N113" i="5"/>
  <c r="R106" i="6" s="1"/>
  <c r="S106" i="6" s="1"/>
  <c r="G113" i="5"/>
  <c r="F113" i="5"/>
  <c r="E113" i="5"/>
  <c r="D113" i="5"/>
  <c r="C113" i="5"/>
  <c r="B113" i="5"/>
  <c r="A113" i="5"/>
  <c r="O112" i="5"/>
  <c r="N112" i="5"/>
  <c r="R105" i="6" s="1"/>
  <c r="S105" i="6" s="1"/>
  <c r="G112" i="5"/>
  <c r="F112" i="5"/>
  <c r="E112" i="5"/>
  <c r="D112" i="5"/>
  <c r="C112" i="5"/>
  <c r="B112" i="5"/>
  <c r="A112" i="5"/>
  <c r="O111" i="5"/>
  <c r="N111" i="5"/>
  <c r="R104" i="6" s="1"/>
  <c r="S104" i="6" s="1"/>
  <c r="G111" i="5"/>
  <c r="F111" i="5"/>
  <c r="E111" i="5"/>
  <c r="D111" i="5"/>
  <c r="C111" i="5"/>
  <c r="B111" i="5"/>
  <c r="A111" i="5"/>
  <c r="O110" i="5"/>
  <c r="N110" i="5"/>
  <c r="R103" i="6" s="1"/>
  <c r="G110" i="5"/>
  <c r="F110" i="5"/>
  <c r="E110" i="5"/>
  <c r="D110" i="5"/>
  <c r="C110" i="5"/>
  <c r="B110" i="5"/>
  <c r="A110" i="5"/>
  <c r="O109" i="5"/>
  <c r="N109" i="5"/>
  <c r="R102" i="6" s="1"/>
  <c r="S102" i="6" s="1"/>
  <c r="G109" i="5"/>
  <c r="F109" i="5"/>
  <c r="E109" i="5"/>
  <c r="D109" i="5"/>
  <c r="C109" i="5"/>
  <c r="B109" i="5"/>
  <c r="A109" i="5"/>
  <c r="O108" i="5"/>
  <c r="N108" i="5"/>
  <c r="R101" i="6" s="1"/>
  <c r="G108" i="5"/>
  <c r="F108" i="5"/>
  <c r="E108" i="5"/>
  <c r="D108" i="5"/>
  <c r="C108" i="5"/>
  <c r="B108" i="5"/>
  <c r="A108" i="5"/>
  <c r="O107" i="5"/>
  <c r="N107" i="5"/>
  <c r="R100" i="6" s="1"/>
  <c r="S100" i="6" s="1"/>
  <c r="G107" i="5"/>
  <c r="F107" i="5"/>
  <c r="E107" i="5"/>
  <c r="D107" i="5"/>
  <c r="C107" i="5"/>
  <c r="B107" i="5"/>
  <c r="A107" i="5"/>
  <c r="O106" i="5"/>
  <c r="N106" i="5"/>
  <c r="R99" i="6" s="1"/>
  <c r="S99" i="6" s="1"/>
  <c r="G106" i="5"/>
  <c r="F106" i="5"/>
  <c r="E106" i="5"/>
  <c r="D106" i="5"/>
  <c r="C106" i="5"/>
  <c r="B106" i="5"/>
  <c r="A106" i="5"/>
  <c r="G103" i="5"/>
  <c r="B103" i="5"/>
  <c r="O101" i="5"/>
  <c r="N101" i="5"/>
  <c r="Q88" i="6" s="1"/>
  <c r="G101" i="5"/>
  <c r="F101" i="5"/>
  <c r="E101" i="5"/>
  <c r="D101" i="5"/>
  <c r="C101" i="5"/>
  <c r="B101" i="5"/>
  <c r="A101" i="5"/>
  <c r="O100" i="5"/>
  <c r="N100" i="5"/>
  <c r="G100" i="5"/>
  <c r="F100" i="5"/>
  <c r="E100" i="5"/>
  <c r="D100" i="5"/>
  <c r="C100" i="5"/>
  <c r="B100" i="5"/>
  <c r="A100" i="5"/>
  <c r="O99" i="5"/>
  <c r="N99" i="5"/>
  <c r="Q87" i="6" s="1"/>
  <c r="G99" i="5"/>
  <c r="F99" i="5"/>
  <c r="E99" i="5"/>
  <c r="D99" i="5"/>
  <c r="C99" i="5"/>
  <c r="B99" i="5"/>
  <c r="A99" i="5"/>
  <c r="O98" i="5"/>
  <c r="N98" i="5"/>
  <c r="Q86" i="6" s="1"/>
  <c r="G98" i="5"/>
  <c r="F98" i="5"/>
  <c r="E98" i="5"/>
  <c r="D98" i="5"/>
  <c r="C98" i="5"/>
  <c r="B98" i="5"/>
  <c r="A98" i="5"/>
  <c r="O97" i="5"/>
  <c r="N97" i="5"/>
  <c r="Q85" i="6" s="1"/>
  <c r="G97" i="5"/>
  <c r="F97" i="5"/>
  <c r="E97" i="5"/>
  <c r="D97" i="5"/>
  <c r="C97" i="5"/>
  <c r="B97" i="5"/>
  <c r="A97" i="5"/>
  <c r="B95" i="5"/>
  <c r="O93" i="5"/>
  <c r="N93" i="5"/>
  <c r="R81" i="6" s="1"/>
  <c r="S81" i="6" s="1"/>
  <c r="G93" i="5"/>
  <c r="F93" i="5"/>
  <c r="E93" i="5"/>
  <c r="D93" i="5"/>
  <c r="C93" i="5"/>
  <c r="B93" i="5"/>
  <c r="A93" i="5"/>
  <c r="O92" i="5"/>
  <c r="N92" i="5"/>
  <c r="R80" i="6" s="1"/>
  <c r="S80" i="6" s="1"/>
  <c r="G92" i="5"/>
  <c r="F92" i="5"/>
  <c r="E92" i="5"/>
  <c r="D92" i="5"/>
  <c r="C92" i="5"/>
  <c r="B92" i="5"/>
  <c r="A92" i="5"/>
  <c r="O91" i="5"/>
  <c r="N91" i="5"/>
  <c r="R79" i="6" s="1"/>
  <c r="S79" i="6" s="1"/>
  <c r="G91" i="5"/>
  <c r="F91" i="5"/>
  <c r="E91" i="5"/>
  <c r="D91" i="5"/>
  <c r="C91" i="5"/>
  <c r="B91" i="5"/>
  <c r="A91" i="5"/>
  <c r="O90" i="5"/>
  <c r="N90" i="5"/>
  <c r="R78" i="6" s="1"/>
  <c r="S78" i="6" s="1"/>
  <c r="G90" i="5"/>
  <c r="F90" i="5"/>
  <c r="E90" i="5"/>
  <c r="D90" i="5"/>
  <c r="C90" i="5"/>
  <c r="B90" i="5"/>
  <c r="A90" i="5"/>
  <c r="O89" i="5"/>
  <c r="N89" i="5"/>
  <c r="R77" i="6" s="1"/>
  <c r="G89" i="5"/>
  <c r="F89" i="5"/>
  <c r="E89" i="5"/>
  <c r="D89" i="5"/>
  <c r="C89" i="5"/>
  <c r="B89" i="5"/>
  <c r="A89" i="5"/>
  <c r="O88" i="5"/>
  <c r="N88" i="5"/>
  <c r="R76" i="6" s="1"/>
  <c r="G88" i="5"/>
  <c r="F88" i="5"/>
  <c r="E88" i="5"/>
  <c r="D88" i="5"/>
  <c r="C88" i="5"/>
  <c r="B88" i="5"/>
  <c r="A88" i="5"/>
  <c r="O87" i="5"/>
  <c r="N87" i="5"/>
  <c r="R75" i="6" s="1"/>
  <c r="G87" i="5"/>
  <c r="F87" i="5"/>
  <c r="E87" i="5"/>
  <c r="D87" i="5"/>
  <c r="C87" i="5"/>
  <c r="B87" i="5"/>
  <c r="A87" i="5"/>
  <c r="O86" i="5"/>
  <c r="N86" i="5"/>
  <c r="R74" i="6" s="1"/>
  <c r="S74" i="6" s="1"/>
  <c r="G86" i="5"/>
  <c r="F86" i="5"/>
  <c r="E86" i="5"/>
  <c r="D86" i="5"/>
  <c r="C86" i="5"/>
  <c r="B86" i="5"/>
  <c r="A86" i="5"/>
  <c r="O85" i="5"/>
  <c r="N85" i="5"/>
  <c r="R73" i="6" s="1"/>
  <c r="S73" i="6" s="1"/>
  <c r="G85" i="5"/>
  <c r="F85" i="5"/>
  <c r="E85" i="5"/>
  <c r="D85" i="5"/>
  <c r="C85" i="5"/>
  <c r="B85" i="5"/>
  <c r="A85" i="5"/>
  <c r="G83" i="5"/>
  <c r="B83" i="5"/>
  <c r="O80" i="5"/>
  <c r="N80" i="5"/>
  <c r="R68" i="6" s="1"/>
  <c r="G80" i="5"/>
  <c r="F80" i="5"/>
  <c r="E80" i="5"/>
  <c r="D80" i="5"/>
  <c r="C80" i="5"/>
  <c r="B80" i="5"/>
  <c r="A80" i="5"/>
  <c r="O79" i="5"/>
  <c r="N79" i="5"/>
  <c r="R67" i="6" s="1"/>
  <c r="S67" i="6" s="1"/>
  <c r="G79" i="5"/>
  <c r="F79" i="5"/>
  <c r="E79" i="5"/>
  <c r="D79" i="5"/>
  <c r="C79" i="5"/>
  <c r="B79" i="5"/>
  <c r="A79" i="5"/>
  <c r="O78" i="5"/>
  <c r="N78" i="5"/>
  <c r="R66" i="6" s="1"/>
  <c r="S66" i="6" s="1"/>
  <c r="G78" i="5"/>
  <c r="F78" i="5"/>
  <c r="E78" i="5"/>
  <c r="D78" i="5"/>
  <c r="C78" i="5"/>
  <c r="B78" i="5"/>
  <c r="A78" i="5"/>
  <c r="O77" i="5"/>
  <c r="N77" i="5"/>
  <c r="R65" i="6" s="1"/>
  <c r="G77" i="5"/>
  <c r="F77" i="5"/>
  <c r="E77" i="5"/>
  <c r="D77" i="5"/>
  <c r="C77" i="5"/>
  <c r="B77" i="5"/>
  <c r="A77" i="5"/>
  <c r="O76" i="5"/>
  <c r="N76" i="5"/>
  <c r="R64" i="6" s="1"/>
  <c r="S64" i="6" s="1"/>
  <c r="G76" i="5"/>
  <c r="F76" i="5"/>
  <c r="E76" i="5"/>
  <c r="D76" i="5"/>
  <c r="C76" i="5"/>
  <c r="B76" i="5"/>
  <c r="A76" i="5"/>
  <c r="O75" i="5"/>
  <c r="N75" i="5"/>
  <c r="R63" i="6" s="1"/>
  <c r="S63" i="6" s="1"/>
  <c r="G75" i="5"/>
  <c r="F75" i="5"/>
  <c r="E75" i="5"/>
  <c r="D75" i="5"/>
  <c r="C75" i="5"/>
  <c r="B75" i="5"/>
  <c r="A75" i="5"/>
  <c r="O74" i="5"/>
  <c r="N74" i="5"/>
  <c r="R62" i="6" s="1"/>
  <c r="S62" i="6" s="1"/>
  <c r="G74" i="5"/>
  <c r="F74" i="5"/>
  <c r="E74" i="5"/>
  <c r="D74" i="5"/>
  <c r="C74" i="5"/>
  <c r="B74" i="5"/>
  <c r="A74" i="5"/>
  <c r="O73" i="5"/>
  <c r="N73" i="5"/>
  <c r="R61" i="6" s="1"/>
  <c r="S61" i="6" s="1"/>
  <c r="G73" i="5"/>
  <c r="F73" i="5"/>
  <c r="E73" i="5"/>
  <c r="D73" i="5"/>
  <c r="C73" i="5"/>
  <c r="B73" i="5"/>
  <c r="A73" i="5"/>
  <c r="O72" i="5"/>
  <c r="N72" i="5"/>
  <c r="R60" i="6" s="1"/>
  <c r="S60" i="6" s="1"/>
  <c r="G72" i="5"/>
  <c r="F72" i="5"/>
  <c r="E72" i="5"/>
  <c r="D72" i="5"/>
  <c r="C72" i="5"/>
  <c r="B72" i="5"/>
  <c r="A72" i="5"/>
  <c r="B70" i="5"/>
  <c r="O67" i="5"/>
  <c r="N67" i="5"/>
  <c r="R55" i="6" s="1"/>
  <c r="S55" i="6" s="1"/>
  <c r="G67" i="5"/>
  <c r="F67" i="5"/>
  <c r="E67" i="5"/>
  <c r="D67" i="5"/>
  <c r="C67" i="5"/>
  <c r="B67" i="5"/>
  <c r="O66" i="5"/>
  <c r="N66" i="5"/>
  <c r="G66" i="5"/>
  <c r="F66" i="5"/>
  <c r="E66" i="5"/>
  <c r="D66" i="5"/>
  <c r="C66" i="5"/>
  <c r="B66" i="5"/>
  <c r="O65" i="5"/>
  <c r="N65" i="5"/>
  <c r="R54" i="6" s="1"/>
  <c r="S54" i="6" s="1"/>
  <c r="G65" i="5"/>
  <c r="F65" i="5"/>
  <c r="E65" i="5"/>
  <c r="D65" i="5"/>
  <c r="C65" i="5"/>
  <c r="B65" i="5"/>
  <c r="A65" i="5"/>
  <c r="O64" i="5"/>
  <c r="N64" i="5"/>
  <c r="G64" i="5"/>
  <c r="F64" i="5"/>
  <c r="E64" i="5"/>
  <c r="D64" i="5"/>
  <c r="C64" i="5"/>
  <c r="B64" i="5"/>
  <c r="A64" i="5"/>
  <c r="O63" i="5"/>
  <c r="N63" i="5"/>
  <c r="R52" i="6" s="1"/>
  <c r="G63" i="5"/>
  <c r="F63" i="5"/>
  <c r="E63" i="5"/>
  <c r="D63" i="5"/>
  <c r="C63" i="5"/>
  <c r="B63" i="5"/>
  <c r="A63" i="5"/>
  <c r="O62" i="5"/>
  <c r="N62" i="5"/>
  <c r="R51" i="6" s="1"/>
  <c r="S51" i="6" s="1"/>
  <c r="G62" i="5"/>
  <c r="F62" i="5"/>
  <c r="E62" i="5"/>
  <c r="D62" i="5"/>
  <c r="C62" i="5"/>
  <c r="B62" i="5"/>
  <c r="A62" i="5"/>
  <c r="O61" i="5"/>
  <c r="N61" i="5"/>
  <c r="R49" i="6" s="1"/>
  <c r="S49" i="6" s="1"/>
  <c r="G61" i="5"/>
  <c r="F61" i="5"/>
  <c r="E61" i="5"/>
  <c r="D61" i="5"/>
  <c r="C61" i="5"/>
  <c r="B61" i="5"/>
  <c r="A61" i="5"/>
  <c r="O60" i="5"/>
  <c r="N60" i="5"/>
  <c r="R47" i="6" s="1"/>
  <c r="S47" i="6" s="1"/>
  <c r="G60" i="5"/>
  <c r="F60" i="5"/>
  <c r="E60" i="5"/>
  <c r="D60" i="5"/>
  <c r="C60" i="5"/>
  <c r="B60" i="5"/>
  <c r="A60" i="5"/>
  <c r="O59" i="5"/>
  <c r="N59" i="5"/>
  <c r="R46" i="6" s="1"/>
  <c r="S46" i="6" s="1"/>
  <c r="G59" i="5"/>
  <c r="F59" i="5"/>
  <c r="E59" i="5"/>
  <c r="D59" i="5"/>
  <c r="C59" i="5"/>
  <c r="B59" i="5"/>
  <c r="A59" i="5"/>
  <c r="O58" i="5"/>
  <c r="N58" i="5"/>
  <c r="R45" i="6" s="1"/>
  <c r="G58" i="5"/>
  <c r="F58" i="5"/>
  <c r="E58" i="5"/>
  <c r="D58" i="5"/>
  <c r="C58" i="5"/>
  <c r="B58" i="5"/>
  <c r="A58" i="5"/>
  <c r="B56" i="5"/>
  <c r="O53" i="5"/>
  <c r="G53" i="5"/>
  <c r="F53" i="5"/>
  <c r="E53" i="5"/>
  <c r="D53" i="5"/>
  <c r="C53" i="5"/>
  <c r="B53" i="5"/>
  <c r="O52" i="5"/>
  <c r="G52" i="5"/>
  <c r="F52" i="5"/>
  <c r="E52" i="5"/>
  <c r="D52" i="5"/>
  <c r="C52" i="5"/>
  <c r="B52" i="5"/>
  <c r="O51" i="5"/>
  <c r="G51" i="5"/>
  <c r="F51" i="5"/>
  <c r="E51" i="5"/>
  <c r="D51" i="5"/>
  <c r="C51" i="5"/>
  <c r="B51" i="5"/>
  <c r="O50" i="5"/>
  <c r="G50" i="5"/>
  <c r="F50" i="5"/>
  <c r="E50" i="5"/>
  <c r="D50" i="5"/>
  <c r="C50" i="5"/>
  <c r="B50" i="5"/>
  <c r="O49" i="5"/>
  <c r="G49" i="5"/>
  <c r="F49" i="5"/>
  <c r="E49" i="5"/>
  <c r="D49" i="5"/>
  <c r="C49" i="5"/>
  <c r="B49" i="5"/>
  <c r="O48" i="5"/>
  <c r="G48" i="5"/>
  <c r="F48" i="5"/>
  <c r="E48" i="5"/>
  <c r="D48" i="5"/>
  <c r="C48" i="5"/>
  <c r="B48" i="5"/>
  <c r="O47" i="5"/>
  <c r="G47" i="5"/>
  <c r="F47" i="5"/>
  <c r="E47" i="5"/>
  <c r="D47" i="5"/>
  <c r="C47" i="5"/>
  <c r="B47" i="5"/>
  <c r="O46" i="5"/>
  <c r="G46" i="5"/>
  <c r="F46" i="5"/>
  <c r="E46" i="5"/>
  <c r="D46" i="5"/>
  <c r="C46" i="5"/>
  <c r="B46" i="5"/>
  <c r="O45" i="5"/>
  <c r="G45" i="5"/>
  <c r="F45" i="5"/>
  <c r="E45" i="5"/>
  <c r="D45" i="5"/>
  <c r="C45" i="5"/>
  <c r="B45" i="5"/>
  <c r="O44" i="5"/>
  <c r="G44" i="5"/>
  <c r="F44" i="5"/>
  <c r="E44" i="5"/>
  <c r="D44" i="5"/>
  <c r="C44" i="5"/>
  <c r="B44" i="5"/>
  <c r="O43" i="5"/>
  <c r="G43" i="5"/>
  <c r="F43" i="5"/>
  <c r="E43" i="5"/>
  <c r="D43" i="5"/>
  <c r="C43" i="5"/>
  <c r="B43" i="5"/>
  <c r="O42" i="5"/>
  <c r="G42" i="5"/>
  <c r="F42" i="5"/>
  <c r="E42" i="5"/>
  <c r="D42" i="5"/>
  <c r="C42" i="5"/>
  <c r="B42" i="5"/>
  <c r="O41" i="5"/>
  <c r="G41" i="5"/>
  <c r="F41" i="5"/>
  <c r="E41" i="5"/>
  <c r="D41" i="5"/>
  <c r="C41" i="5"/>
  <c r="B41" i="5"/>
  <c r="O40" i="5"/>
  <c r="N40" i="5"/>
  <c r="R40" i="6" s="1"/>
  <c r="G40" i="5"/>
  <c r="F40" i="5"/>
  <c r="E40" i="5"/>
  <c r="D40" i="5"/>
  <c r="C40" i="5"/>
  <c r="B40" i="5"/>
  <c r="A40" i="5"/>
  <c r="O39" i="5"/>
  <c r="N39" i="5"/>
  <c r="R39" i="6" s="1"/>
  <c r="S39" i="6" s="1"/>
  <c r="G39" i="5"/>
  <c r="F39" i="5"/>
  <c r="E39" i="5"/>
  <c r="D39" i="5"/>
  <c r="C39" i="5"/>
  <c r="B39" i="5"/>
  <c r="A39" i="5"/>
  <c r="O38" i="5"/>
  <c r="N38" i="5"/>
  <c r="R38" i="6" s="1"/>
  <c r="S38" i="6" s="1"/>
  <c r="G38" i="5"/>
  <c r="F38" i="5"/>
  <c r="E38" i="5"/>
  <c r="D38" i="5"/>
  <c r="C38" i="5"/>
  <c r="B38" i="5"/>
  <c r="A38" i="5"/>
  <c r="O37" i="5"/>
  <c r="N37" i="5"/>
  <c r="R37" i="6" s="1"/>
  <c r="S37" i="6" s="1"/>
  <c r="G37" i="5"/>
  <c r="F37" i="5"/>
  <c r="E37" i="5"/>
  <c r="D37" i="5"/>
  <c r="C37" i="5"/>
  <c r="B37" i="5"/>
  <c r="A37" i="5"/>
  <c r="O36" i="5"/>
  <c r="N36" i="5"/>
  <c r="R36" i="6" s="1"/>
  <c r="S36" i="6" s="1"/>
  <c r="G36" i="5"/>
  <c r="F36" i="5"/>
  <c r="E36" i="5"/>
  <c r="D36" i="5"/>
  <c r="C36" i="5"/>
  <c r="B36" i="5"/>
  <c r="A36" i="5"/>
  <c r="O35" i="5"/>
  <c r="N35" i="5"/>
  <c r="R35" i="6" s="1"/>
  <c r="S35" i="6" s="1"/>
  <c r="G35" i="5"/>
  <c r="F35" i="5"/>
  <c r="E35" i="5"/>
  <c r="D35" i="5"/>
  <c r="C35" i="5"/>
  <c r="B35" i="5"/>
  <c r="A35" i="5"/>
  <c r="O34" i="5"/>
  <c r="N34" i="5"/>
  <c r="R34" i="6" s="1"/>
  <c r="S34" i="6" s="1"/>
  <c r="G34" i="5"/>
  <c r="F34" i="5"/>
  <c r="E34" i="5"/>
  <c r="D34" i="5"/>
  <c r="C34" i="5"/>
  <c r="B34" i="5"/>
  <c r="A34" i="5"/>
  <c r="O33" i="5"/>
  <c r="N33" i="5"/>
  <c r="R33" i="6" s="1"/>
  <c r="S33" i="6" s="1"/>
  <c r="G33" i="5"/>
  <c r="F33" i="5"/>
  <c r="E33" i="5"/>
  <c r="D33" i="5"/>
  <c r="C33" i="5"/>
  <c r="B33" i="5"/>
  <c r="A33" i="5"/>
  <c r="O32" i="5"/>
  <c r="N32" i="5"/>
  <c r="R32" i="6" s="1"/>
  <c r="S32" i="6" s="1"/>
  <c r="G32" i="5"/>
  <c r="F32" i="5"/>
  <c r="E32" i="5"/>
  <c r="D32" i="5"/>
  <c r="C32" i="5"/>
  <c r="B32" i="5"/>
  <c r="A32" i="5"/>
  <c r="O31" i="5"/>
  <c r="N31" i="5"/>
  <c r="R31" i="6" s="1"/>
  <c r="S31" i="6" s="1"/>
  <c r="G31" i="5"/>
  <c r="F31" i="5"/>
  <c r="E31" i="5"/>
  <c r="D31" i="5"/>
  <c r="C31" i="5"/>
  <c r="B31" i="5"/>
  <c r="A31" i="5"/>
  <c r="O30" i="5"/>
  <c r="N30" i="5"/>
  <c r="R30" i="6" s="1"/>
  <c r="S30" i="6" s="1"/>
  <c r="G30" i="5"/>
  <c r="F30" i="5"/>
  <c r="E30" i="5"/>
  <c r="D30" i="5"/>
  <c r="C30" i="5"/>
  <c r="B30" i="5"/>
  <c r="A30" i="5"/>
  <c r="O29" i="5"/>
  <c r="N29" i="5"/>
  <c r="R29" i="6" s="1"/>
  <c r="S29" i="6" s="1"/>
  <c r="G29" i="5"/>
  <c r="F29" i="5"/>
  <c r="E29" i="5"/>
  <c r="D29" i="5"/>
  <c r="C29" i="5"/>
  <c r="B29" i="5"/>
  <c r="A29" i="5"/>
  <c r="O28" i="5"/>
  <c r="N28" i="5"/>
  <c r="R28" i="6" s="1"/>
  <c r="S28" i="6" s="1"/>
  <c r="G28" i="5"/>
  <c r="F28" i="5"/>
  <c r="E28" i="5"/>
  <c r="D28" i="5"/>
  <c r="C28" i="5"/>
  <c r="B28" i="5"/>
  <c r="A28" i="5"/>
  <c r="O27" i="5"/>
  <c r="N27" i="5"/>
  <c r="R27" i="6" s="1"/>
  <c r="S27" i="6" s="1"/>
  <c r="G27" i="5"/>
  <c r="F27" i="5"/>
  <c r="E27" i="5"/>
  <c r="D27" i="5"/>
  <c r="C27" i="5"/>
  <c r="B27" i="5"/>
  <c r="A27" i="5"/>
  <c r="O26" i="5"/>
  <c r="N26" i="5"/>
  <c r="R26" i="6" s="1"/>
  <c r="S26" i="6" s="1"/>
  <c r="G26" i="5"/>
  <c r="F26" i="5"/>
  <c r="E26" i="5"/>
  <c r="D26" i="5"/>
  <c r="C26" i="5"/>
  <c r="B26" i="5"/>
  <c r="A26" i="5"/>
  <c r="O25" i="5"/>
  <c r="N25" i="5"/>
  <c r="R25" i="6" s="1"/>
  <c r="S25" i="6" s="1"/>
  <c r="G25" i="5"/>
  <c r="F25" i="5"/>
  <c r="E25" i="5"/>
  <c r="D25" i="5"/>
  <c r="C25" i="5"/>
  <c r="B25" i="5"/>
  <c r="A25" i="5"/>
  <c r="O24" i="5"/>
  <c r="N24" i="5"/>
  <c r="G24" i="5"/>
  <c r="F24" i="5"/>
  <c r="E24" i="5"/>
  <c r="D24" i="5"/>
  <c r="C24" i="5"/>
  <c r="B24" i="5"/>
  <c r="A24" i="5"/>
  <c r="O23" i="5"/>
  <c r="N23" i="5"/>
  <c r="R23" i="6" s="1"/>
  <c r="S23" i="6" s="1"/>
  <c r="G23" i="5"/>
  <c r="F23" i="5"/>
  <c r="E23" i="5"/>
  <c r="D23" i="5"/>
  <c r="C23" i="5"/>
  <c r="B23" i="5"/>
  <c r="A23" i="5"/>
  <c r="O22" i="5"/>
  <c r="N22" i="5"/>
  <c r="R22" i="6" s="1"/>
  <c r="S22" i="6" s="1"/>
  <c r="G22" i="5"/>
  <c r="F22" i="5"/>
  <c r="E22" i="5"/>
  <c r="D22" i="5"/>
  <c r="C22" i="5"/>
  <c r="B22" i="5"/>
  <c r="A22" i="5"/>
  <c r="O21" i="5"/>
  <c r="N21" i="5"/>
  <c r="R21" i="6" s="1"/>
  <c r="G21" i="5"/>
  <c r="F21" i="5"/>
  <c r="E21" i="5"/>
  <c r="D21" i="5"/>
  <c r="C21" i="5"/>
  <c r="B21" i="5"/>
  <c r="A21" i="5"/>
  <c r="O20" i="5"/>
  <c r="N20" i="5"/>
  <c r="R20" i="6" s="1"/>
  <c r="S20" i="6" s="1"/>
  <c r="G20" i="5"/>
  <c r="F20" i="5"/>
  <c r="E20" i="5"/>
  <c r="D20" i="5"/>
  <c r="C20" i="5"/>
  <c r="B20" i="5"/>
  <c r="A20" i="5"/>
  <c r="O19" i="5"/>
  <c r="N19" i="5"/>
  <c r="R19" i="6" s="1"/>
  <c r="S19" i="6" s="1"/>
  <c r="G19" i="5"/>
  <c r="F19" i="5"/>
  <c r="E19" i="5"/>
  <c r="D19" i="5"/>
  <c r="C19" i="5"/>
  <c r="B19" i="5"/>
  <c r="A19" i="5"/>
  <c r="O18" i="5"/>
  <c r="N18" i="5"/>
  <c r="R18" i="6" s="1"/>
  <c r="S18" i="6" s="1"/>
  <c r="G18" i="5"/>
  <c r="F18" i="5"/>
  <c r="E18" i="5"/>
  <c r="D18" i="5"/>
  <c r="C18" i="5"/>
  <c r="B18" i="5"/>
  <c r="A18" i="5"/>
  <c r="O17" i="5"/>
  <c r="N17" i="5"/>
  <c r="R17" i="6" s="1"/>
  <c r="G17" i="5"/>
  <c r="F17" i="5"/>
  <c r="E17" i="5"/>
  <c r="D17" i="5"/>
  <c r="C17" i="5"/>
  <c r="B17" i="5"/>
  <c r="A17" i="5"/>
  <c r="O16" i="5"/>
  <c r="N16" i="5"/>
  <c r="R16" i="6" s="1"/>
  <c r="S16" i="6" s="1"/>
  <c r="G16" i="5"/>
  <c r="F16" i="5"/>
  <c r="E16" i="5"/>
  <c r="D16" i="5"/>
  <c r="C16" i="5"/>
  <c r="B16" i="5"/>
  <c r="A16" i="5"/>
  <c r="O15" i="5"/>
  <c r="N15" i="5"/>
  <c r="R15" i="6" s="1"/>
  <c r="S15" i="6" s="1"/>
  <c r="G15" i="5"/>
  <c r="F15" i="5"/>
  <c r="E15" i="5"/>
  <c r="D15" i="5"/>
  <c r="C15" i="5"/>
  <c r="B15" i="5"/>
  <c r="A15" i="5"/>
  <c r="O14" i="5"/>
  <c r="N14" i="5"/>
  <c r="R14" i="6" s="1"/>
  <c r="S14" i="6" s="1"/>
  <c r="G14" i="5"/>
  <c r="F14" i="5"/>
  <c r="E14" i="5"/>
  <c r="D14" i="5"/>
  <c r="C14" i="5"/>
  <c r="B14" i="5"/>
  <c r="A14" i="5"/>
  <c r="O13" i="5"/>
  <c r="N13" i="5"/>
  <c r="R13" i="6" s="1"/>
  <c r="S13" i="6" s="1"/>
  <c r="G13" i="5"/>
  <c r="F13" i="5"/>
  <c r="E13" i="5"/>
  <c r="D13" i="5"/>
  <c r="C13" i="5"/>
  <c r="B13" i="5"/>
  <c r="A13" i="5"/>
  <c r="O12" i="5"/>
  <c r="N12" i="5"/>
  <c r="R12" i="6" s="1"/>
  <c r="S12" i="6" s="1"/>
  <c r="G12" i="5"/>
  <c r="F12" i="5"/>
  <c r="E12" i="5"/>
  <c r="D12" i="5"/>
  <c r="C12" i="5"/>
  <c r="B12" i="5"/>
  <c r="A12" i="5"/>
  <c r="O11" i="5"/>
  <c r="N11" i="5"/>
  <c r="R11" i="6" s="1"/>
  <c r="S11" i="6" s="1"/>
  <c r="G11" i="5"/>
  <c r="F11" i="5"/>
  <c r="E11" i="5"/>
  <c r="D11" i="5"/>
  <c r="C11" i="5"/>
  <c r="B11" i="5"/>
  <c r="A11" i="5"/>
  <c r="O10" i="5"/>
  <c r="N10" i="5"/>
  <c r="R10" i="6" s="1"/>
  <c r="S10" i="6" s="1"/>
  <c r="G10" i="5"/>
  <c r="F10" i="5"/>
  <c r="E10" i="5"/>
  <c r="D10" i="5"/>
  <c r="C10" i="5"/>
  <c r="B10" i="5"/>
  <c r="A10" i="5"/>
  <c r="O9" i="5"/>
  <c r="N9" i="5"/>
  <c r="R9" i="6" s="1"/>
  <c r="S9" i="6" s="1"/>
  <c r="G9" i="5"/>
  <c r="F9" i="5"/>
  <c r="E9" i="5"/>
  <c r="D9" i="5"/>
  <c r="C9" i="5"/>
  <c r="B9" i="5"/>
  <c r="A9" i="5"/>
  <c r="O8" i="5"/>
  <c r="N8" i="5"/>
  <c r="R8" i="6" s="1"/>
  <c r="S8" i="6" s="1"/>
  <c r="G8" i="5"/>
  <c r="F8" i="5"/>
  <c r="E8" i="5"/>
  <c r="D8" i="5"/>
  <c r="C8" i="5"/>
  <c r="B8" i="5"/>
  <c r="A8" i="5"/>
  <c r="L6" i="5"/>
  <c r="K6" i="5"/>
  <c r="S101" i="6" l="1"/>
  <c r="S75" i="6"/>
  <c r="S21" i="6"/>
  <c r="S45" i="6"/>
  <c r="S68" i="6"/>
  <c r="S103" i="6"/>
  <c r="S119" i="6"/>
  <c r="P177" i="6"/>
  <c r="P184" i="6"/>
  <c r="S112" i="6"/>
  <c r="P181" i="6"/>
  <c r="S65" i="6"/>
  <c r="S76" i="6"/>
  <c r="P176" i="6"/>
  <c r="P183" i="6"/>
  <c r="P179" i="6"/>
  <c r="S40" i="6"/>
  <c r="S167" i="6"/>
  <c r="S17" i="6"/>
  <c r="S122" i="6"/>
  <c r="S52" i="6"/>
  <c r="S115" i="6"/>
  <c r="S134" i="6"/>
  <c r="S151" i="6"/>
  <c r="S137" i="6"/>
  <c r="P182" i="6"/>
  <c r="S48" i="6"/>
  <c r="N123" i="5"/>
  <c r="R116" i="6" s="1"/>
  <c r="S116" i="6" s="1"/>
  <c r="P88" i="6"/>
  <c r="S77" i="6"/>
  <c r="G101" i="6"/>
</calcChain>
</file>

<file path=xl/sharedStrings.xml><?xml version="1.0" encoding="utf-8"?>
<sst xmlns="http://schemas.openxmlformats.org/spreadsheetml/2006/main" count="3230" uniqueCount="923">
  <si>
    <t>Día</t>
  </si>
  <si>
    <t>Hora</t>
  </si>
  <si>
    <t>PROGRAMACIÓN DE CURSOS PRIMER SEMESTRE DEL 2026</t>
  </si>
  <si>
    <t>ESCUELA DE ADMINISTRACIÓN</t>
  </si>
  <si>
    <t xml:space="preserve">EXAMENES </t>
  </si>
  <si>
    <t>30 de junio al 10 de julio</t>
  </si>
  <si>
    <t>CURSOS MINIMOS LICENCIATURA</t>
  </si>
  <si>
    <t>Clases</t>
  </si>
  <si>
    <t>Ayudantía</t>
  </si>
  <si>
    <t>Pruebas</t>
  </si>
  <si>
    <t>Examen</t>
  </si>
  <si>
    <t>Sigla</t>
  </si>
  <si>
    <t>Sec.</t>
  </si>
  <si>
    <t>Créd</t>
  </si>
  <si>
    <t>Nombre del curso</t>
  </si>
  <si>
    <t>Prof</t>
  </si>
  <si>
    <t>Requisitos</t>
  </si>
  <si>
    <t>Horario</t>
  </si>
  <si>
    <t>Día/Módulo</t>
  </si>
  <si>
    <t>UA05</t>
  </si>
  <si>
    <t>UA11</t>
  </si>
  <si>
    <t>FG</t>
  </si>
  <si>
    <t>TOTAL</t>
  </si>
  <si>
    <t>EAA1110</t>
  </si>
  <si>
    <t>COMPORTAMIENTO ORGANIZACIONAL</t>
  </si>
  <si>
    <t>G. MUÑOZ</t>
  </si>
  <si>
    <t>ADMISIÓN</t>
  </si>
  <si>
    <t>M-J:2</t>
  </si>
  <si>
    <t>V:6</t>
  </si>
  <si>
    <t>8:20 - 10:20</t>
  </si>
  <si>
    <t>S. VALENZUELA</t>
  </si>
  <si>
    <t>M-J:4</t>
  </si>
  <si>
    <t>M.E. VIGNEAUX</t>
  </si>
  <si>
    <t>E. KAUSEL</t>
  </si>
  <si>
    <t>L-W:3</t>
  </si>
  <si>
    <t>M-J:5</t>
  </si>
  <si>
    <t>M-J:3</t>
  </si>
  <si>
    <t>F. VALDOVINOS</t>
  </si>
  <si>
    <t>M-J:1</t>
  </si>
  <si>
    <t>EAA1210</t>
  </si>
  <si>
    <t xml:space="preserve">CONTABILIDAD </t>
  </si>
  <si>
    <t>J. GÁLVEZ</t>
  </si>
  <si>
    <t>V:3/L:7</t>
  </si>
  <si>
    <t>H. GODOY</t>
  </si>
  <si>
    <t>L-W:1</t>
  </si>
  <si>
    <t>R. GANA</t>
  </si>
  <si>
    <t>A. MORETA</t>
  </si>
  <si>
    <t>L-W:5</t>
  </si>
  <si>
    <t>L-W:2</t>
  </si>
  <si>
    <t>L-W:4</t>
  </si>
  <si>
    <t>EAA1220</t>
  </si>
  <si>
    <t>FUNDAMENTOS DE FINANZAS</t>
  </si>
  <si>
    <t>L. HERNÁNDEZ</t>
  </si>
  <si>
    <t>(EAA1210 y EAA1510)</t>
  </si>
  <si>
    <t>V:2/L:7</t>
  </si>
  <si>
    <t>13:30 - 15:30</t>
  </si>
  <si>
    <t>C. BURGA</t>
  </si>
  <si>
    <t>EAA2230</t>
  </si>
  <si>
    <t>EMPRESA Y LEGISLACIÓN</t>
  </si>
  <si>
    <t>K. MOORE</t>
  </si>
  <si>
    <t>EAA2410</t>
  </si>
  <si>
    <t>--</t>
  </si>
  <si>
    <t>A. LETONJA / O. AGUAYO</t>
  </si>
  <si>
    <t xml:space="preserve">B. BERNSTEIN </t>
  </si>
  <si>
    <t>J:6</t>
  </si>
  <si>
    <t>EAA220B</t>
  </si>
  <si>
    <t xml:space="preserve">FINANZAS I                       </t>
  </si>
  <si>
    <t>D. BUCHUK</t>
  </si>
  <si>
    <t>EAA213A- EAE250A - EAA162C</t>
  </si>
  <si>
    <t>M. VALENZUELA</t>
  </si>
  <si>
    <t>C. SILVA</t>
  </si>
  <si>
    <t>M-J:6</t>
  </si>
  <si>
    <t>EAA2210</t>
  </si>
  <si>
    <t>TEORÍA FINANCIERA</t>
  </si>
  <si>
    <t>Admisión 2020 - 2023: EAA2410-EAA1520-IIC1103 Y EAE2110 CON</t>
  </si>
  <si>
    <t>Admisión 2024 y posteriores: EAA2410-EAA1520-IIC1103 CON Y EAE2110 CON</t>
  </si>
  <si>
    <t>EAA2220</t>
  </si>
  <si>
    <t>COSTOS</t>
  </si>
  <si>
    <t>G. MATURANA</t>
  </si>
  <si>
    <t>W:2</t>
  </si>
  <si>
    <t>V:2</t>
  </si>
  <si>
    <t>W:3</t>
  </si>
  <si>
    <t>M. DEL SANTE</t>
  </si>
  <si>
    <t>M:3</t>
  </si>
  <si>
    <t>M:4</t>
  </si>
  <si>
    <t>EAA223A</t>
  </si>
  <si>
    <t>CONTABILIDAD GERENCIAL</t>
  </si>
  <si>
    <t>I. RODRÍGUEZ</t>
  </si>
  <si>
    <t>EAA218A y EAA220B</t>
  </si>
  <si>
    <t>L.CAMILLA</t>
  </si>
  <si>
    <t>EAA2240</t>
  </si>
  <si>
    <t>EAA2210 y EAA2220</t>
  </si>
  <si>
    <t>EAA2310</t>
  </si>
  <si>
    <t>FUNDAMENTOS DE MARKETING</t>
  </si>
  <si>
    <t>H. PALACIOS</t>
  </si>
  <si>
    <t>EAA1110 - EAA1210 - EAA1510</t>
  </si>
  <si>
    <t>V:3</t>
  </si>
  <si>
    <t>A. IBAÑEZ</t>
  </si>
  <si>
    <t>F. ROCCA</t>
  </si>
  <si>
    <t>M.J. FERNÁNDEZ</t>
  </si>
  <si>
    <t>EAA2320</t>
  </si>
  <si>
    <t>MARKETING ANALYTICS</t>
  </si>
  <si>
    <t>R. MONTOYA</t>
  </si>
  <si>
    <t>EAE2510 y EAA2310</t>
  </si>
  <si>
    <t>P. MARSHALL</t>
  </si>
  <si>
    <t>ESTRATEGIA DE LA ORGANIZACIÓN</t>
  </si>
  <si>
    <t>F. RUIZ-ALISEDA</t>
  </si>
  <si>
    <t>EAE1110 y (EAE1220 o EAE213A)</t>
  </si>
  <si>
    <t>G. SARAIVA</t>
  </si>
  <si>
    <t>EAA240A</t>
  </si>
  <si>
    <t>ADMINISTRACIÓN DE RECURSOS HUMANOS</t>
  </si>
  <si>
    <t>A. RAINIERI</t>
  </si>
  <si>
    <t xml:space="preserve">280 CRED. APROBADOS      </t>
  </si>
  <si>
    <t>V:1</t>
  </si>
  <si>
    <t>C. PORTALES</t>
  </si>
  <si>
    <t>A. MEHECH</t>
  </si>
  <si>
    <t>EAA2110</t>
  </si>
  <si>
    <t>DIRECCIÓN DE PERSONAS</t>
  </si>
  <si>
    <t>EAA1110 Y FIL209</t>
  </si>
  <si>
    <t>EAA2420</t>
  </si>
  <si>
    <t>ESTRATEGIA COMPETITIVA</t>
  </si>
  <si>
    <t>A. GONZÁLEZ</t>
  </si>
  <si>
    <t>(EAA2410 y EAE2120) o (EAA2410 y EAE211B)</t>
  </si>
  <si>
    <t>V:4</t>
  </si>
  <si>
    <t>EAA251A</t>
  </si>
  <si>
    <t xml:space="preserve">MÉTODOS DE OPTIMIZACIÓN          </t>
  </si>
  <si>
    <t>A. ESPINOZA</t>
  </si>
  <si>
    <t>EAS200A</t>
  </si>
  <si>
    <t>W:5-6</t>
  </si>
  <si>
    <t>L:5-6</t>
  </si>
  <si>
    <t>M. CEPEDA</t>
  </si>
  <si>
    <t>J:5-6</t>
  </si>
  <si>
    <t>EAA1510</t>
  </si>
  <si>
    <t xml:space="preserve">PROBABILIDAD ESTADÍSTICA         </t>
  </si>
  <si>
    <t>C. VÁSQUEZ</t>
  </si>
  <si>
    <t xml:space="preserve">MAT1620 CONC.   </t>
  </si>
  <si>
    <t>W:6</t>
  </si>
  <si>
    <t>R. ARAVENA</t>
  </si>
  <si>
    <t>R. OLEA</t>
  </si>
  <si>
    <t>EAA1520</t>
  </si>
  <si>
    <t xml:space="preserve">INFERENCIA ESTADÍSTICA           </t>
  </si>
  <si>
    <t>M.I. VICUÑA</t>
  </si>
  <si>
    <t>L:6 - J:5</t>
  </si>
  <si>
    <t>L:6 - V:3</t>
  </si>
  <si>
    <t>L:6 - W:4</t>
  </si>
  <si>
    <t>M. RAFOLS</t>
  </si>
  <si>
    <t>L:6 - W:2</t>
  </si>
  <si>
    <t>TALLERES DE COMPUTACIÓN</t>
  </si>
  <si>
    <t>Examen de Suficiencia</t>
  </si>
  <si>
    <t>Día/Hora</t>
  </si>
  <si>
    <t>EAA162C</t>
  </si>
  <si>
    <t>TALLER DE COMPUTACIÓN I (EXCEL)</t>
  </si>
  <si>
    <t>A. CANALES</t>
  </si>
  <si>
    <t>ADMISION</t>
  </si>
  <si>
    <t>EAA163C</t>
  </si>
  <si>
    <t>TALLER DE COMPUTACIÓN II (ACCES)</t>
  </si>
  <si>
    <t>S.FUSTER</t>
  </si>
  <si>
    <t>CURSOS NIVEL 200 OPTATIVOS LICENCIATURA</t>
  </si>
  <si>
    <t>Estudiantes de admisión 2010 a 2019  deben tomar 20 créditos de cursos optativos 200 de la Escuela de Administración</t>
  </si>
  <si>
    <t>Estudiantes admisión 2020 y posteriores deben tomar los cursos que son parte de un minor o forman parte del listado de cursos optativos reconocidos en ese currículo</t>
  </si>
  <si>
    <t>EAA200E</t>
  </si>
  <si>
    <r>
      <t xml:space="preserve">DECISIONES DIFÍCILES </t>
    </r>
    <r>
      <rPr>
        <b/>
        <sz val="10"/>
        <color rgb="FF7030A0"/>
        <rFont val="Arial Narrow"/>
        <family val="2"/>
      </rPr>
      <t xml:space="preserve"> </t>
    </r>
    <r>
      <rPr>
        <b/>
        <vertAlign val="superscript"/>
        <sz val="11"/>
        <color theme="9" tint="-0.249977111117893"/>
        <rFont val="Arial Narrow"/>
        <family val="2"/>
      </rPr>
      <t>3</t>
    </r>
    <r>
      <rPr>
        <b/>
        <vertAlign val="superscript"/>
        <sz val="11"/>
        <color rgb="FF7030A0"/>
        <rFont val="Arial Narrow"/>
        <family val="2"/>
      </rPr>
      <t>, 5</t>
    </r>
  </si>
  <si>
    <t>EAE2110</t>
  </si>
  <si>
    <t>EAA2018</t>
  </si>
  <si>
    <r>
      <t>ESTRATEGIAS COMPETITIVAS EN PLATAFORMAS DIGITALES</t>
    </r>
    <r>
      <rPr>
        <sz val="9"/>
        <color theme="9"/>
        <rFont val="Arial Narrow"/>
        <family val="2"/>
      </rPr>
      <t xml:space="preserve"> </t>
    </r>
    <r>
      <rPr>
        <vertAlign val="superscript"/>
        <sz val="11"/>
        <color theme="9" tint="-0.249977111117893"/>
        <rFont val="Arial Narrow"/>
        <family val="2"/>
      </rPr>
      <t>3</t>
    </r>
  </si>
  <si>
    <t xml:space="preserve">EAF2010 y EAA2410 y EAE2510 </t>
  </si>
  <si>
    <t>W:5</t>
  </si>
  <si>
    <t>EAA2072</t>
  </si>
  <si>
    <r>
      <t xml:space="preserve">INNOVACIÓN Y TECNOLOGÍAS EMERGENTES </t>
    </r>
    <r>
      <rPr>
        <vertAlign val="superscript"/>
        <sz val="11"/>
        <color theme="9" tint="-0.249977111117893"/>
        <rFont val="Arial Narrow"/>
        <family val="2"/>
      </rPr>
      <t>3</t>
    </r>
  </si>
  <si>
    <t>N. MONCADA</t>
  </si>
  <si>
    <t> EAA208E o (EAA2310 y EAA2410)</t>
  </si>
  <si>
    <t>L:2</t>
  </si>
  <si>
    <t>EAA2075</t>
  </si>
  <si>
    <r>
      <t xml:space="preserve">FINANCIAMIENTO DE STARUPS </t>
    </r>
    <r>
      <rPr>
        <vertAlign val="superscript"/>
        <sz val="11"/>
        <color theme="9"/>
        <rFont val="Calibri"/>
        <family val="2"/>
      </rPr>
      <t>3</t>
    </r>
  </si>
  <si>
    <t>Y. SCHKOLNICK</t>
  </si>
  <si>
    <t>W:4</t>
  </si>
  <si>
    <t>W:7</t>
  </si>
  <si>
    <t>EAA2079</t>
  </si>
  <si>
    <r>
      <t>METODOLOGÍAS ÁGILES  PARA LA INNOVACIÓN ORGANIZACIONAL</t>
    </r>
    <r>
      <rPr>
        <sz val="11"/>
        <color theme="9"/>
        <rFont val="Arial Narrow"/>
        <family val="2"/>
      </rPr>
      <t xml:space="preserve"> </t>
    </r>
    <r>
      <rPr>
        <vertAlign val="superscript"/>
        <sz val="11"/>
        <color theme="9"/>
        <rFont val="Calibri"/>
        <family val="2"/>
      </rPr>
      <t>3</t>
    </r>
  </si>
  <si>
    <t xml:space="preserve">EAA2410 y EAA2310 </t>
  </si>
  <si>
    <t>J:6-7</t>
  </si>
  <si>
    <t>M:7</t>
  </si>
  <si>
    <t>EAA2080</t>
  </si>
  <si>
    <r>
      <t xml:space="preserve">INNOVACIÓN SISTÉMICA Y ECOSISTEMAS DE EMPRENDIMIENTO </t>
    </r>
    <r>
      <rPr>
        <vertAlign val="superscript"/>
        <sz val="11"/>
        <color theme="9"/>
        <rFont val="Arial Narrow"/>
        <family val="2"/>
      </rPr>
      <t>3</t>
    </r>
  </si>
  <si>
    <t>EAA208E o (EAA2410 o EAA200B o EAA200A) y (EAA2310 o EAA230A)</t>
  </si>
  <si>
    <t>J:4</t>
  </si>
  <si>
    <t>EAA2081</t>
  </si>
  <si>
    <r>
      <t xml:space="preserve">GESTIÓN DE LA INNOVACIÓN </t>
    </r>
    <r>
      <rPr>
        <vertAlign val="superscript"/>
        <sz val="11"/>
        <color theme="9" tint="-0.249977111117893"/>
        <rFont val="Arial Narrow"/>
        <family val="2"/>
      </rPr>
      <t>3</t>
    </r>
  </si>
  <si>
    <t xml:space="preserve">J.M. CHAPA </t>
  </si>
  <si>
    <t>EAA208E o (EAA2410 y EAA2310) o (EAA200B y EAA230A)</t>
  </si>
  <si>
    <t>W:1</t>
  </si>
  <si>
    <t>L:1</t>
  </si>
  <si>
    <t>PF</t>
  </si>
  <si>
    <t>EAA2091</t>
  </si>
  <si>
    <r>
      <t xml:space="preserve">FUNDAMENTOS DE LA TEORÍA PRÁCTICA DE LA INNOVACIÓN </t>
    </r>
    <r>
      <rPr>
        <b/>
        <vertAlign val="superscript"/>
        <sz val="11"/>
        <color theme="9"/>
        <rFont val="Arial Narrow"/>
        <family val="2"/>
      </rPr>
      <t>3</t>
    </r>
  </si>
  <si>
    <t>P. BROITMAN</t>
  </si>
  <si>
    <t>M. VILLALOBOS</t>
  </si>
  <si>
    <t>EAA209L</t>
  </si>
  <si>
    <r>
      <t xml:space="preserve">DESIGN THINKING PARA NEGOCIOS </t>
    </r>
    <r>
      <rPr>
        <b/>
        <vertAlign val="superscript"/>
        <sz val="11"/>
        <color theme="9" tint="-0.249977111117893"/>
        <rFont val="Arial Narrow"/>
        <family val="2"/>
      </rPr>
      <t>3</t>
    </r>
  </si>
  <si>
    <t>EAA2410 ó EAA200B ó EAA201E</t>
  </si>
  <si>
    <r>
      <t xml:space="preserve">DESIGN THINKING PARA NEGOCIOS </t>
    </r>
    <r>
      <rPr>
        <b/>
        <vertAlign val="superscript"/>
        <sz val="11"/>
        <color theme="9"/>
        <rFont val="Arial Narrow"/>
        <family val="2"/>
      </rPr>
      <t>3</t>
    </r>
    <r>
      <rPr>
        <b/>
        <sz val="9"/>
        <color theme="9"/>
        <rFont val="Arial Narrow"/>
        <family val="2"/>
      </rPr>
      <t xml:space="preserve"> (INGLÉS)</t>
    </r>
  </si>
  <si>
    <t>EAA222F</t>
  </si>
  <si>
    <r>
      <t xml:space="preserve">MERCADO DE CAPITALES </t>
    </r>
    <r>
      <rPr>
        <vertAlign val="superscript"/>
        <sz val="11"/>
        <color rgb="FF00B050"/>
        <rFont val="Arial Narrow"/>
        <family val="2"/>
      </rPr>
      <t>2</t>
    </r>
  </si>
  <si>
    <t>A. KAPLAN</t>
  </si>
  <si>
    <t>EAA213A Ó EAA1220</t>
  </si>
  <si>
    <t>EAA2225</t>
  </si>
  <si>
    <r>
      <t xml:space="preserve">FINANZAS INTERNACIONALES </t>
    </r>
    <r>
      <rPr>
        <b/>
        <vertAlign val="superscript"/>
        <sz val="11"/>
        <color rgb="FF00B050"/>
        <rFont val="Arial Narrow"/>
        <family val="2"/>
      </rPr>
      <t>2</t>
    </r>
  </si>
  <si>
    <t>J:1</t>
  </si>
  <si>
    <t>EAA224A</t>
  </si>
  <si>
    <r>
      <t xml:space="preserve">SEMINARIO DE FINANZAS: FINANCIAMIENTO EMPRESARIAL </t>
    </r>
    <r>
      <rPr>
        <vertAlign val="superscript"/>
        <sz val="11"/>
        <color rgb="FF00B050"/>
        <rFont val="Arial Narrow"/>
        <family val="2"/>
      </rPr>
      <t>2</t>
    </r>
  </si>
  <si>
    <t>R. MUÑOZ</t>
  </si>
  <si>
    <t>(EAA213 ó EAA1220) y (EAE2210 0 EAE220D)</t>
  </si>
  <si>
    <t>L:2-3</t>
  </si>
  <si>
    <t>17:30 - 19:30</t>
  </si>
  <si>
    <t>EAA2245</t>
  </si>
  <si>
    <r>
      <t xml:space="preserve">INVERSIONES DE RENTA FIJA </t>
    </r>
    <r>
      <rPr>
        <vertAlign val="superscript"/>
        <sz val="11"/>
        <color rgb="FF00B050"/>
        <rFont val="Arial Narrow"/>
        <family val="2"/>
      </rPr>
      <t>2</t>
    </r>
  </si>
  <si>
    <t>EAA2210 ó (EAA220B o EAA220A)</t>
  </si>
  <si>
    <t>J:5</t>
  </si>
  <si>
    <t>EAA2260</t>
  </si>
  <si>
    <r>
      <t xml:space="preserve">VALORACIÓN FINANCIERA DE EMPRESAS </t>
    </r>
    <r>
      <rPr>
        <vertAlign val="superscript"/>
        <sz val="11"/>
        <color rgb="FF00B050"/>
        <rFont val="Arial Narrow"/>
        <family val="2"/>
      </rPr>
      <t>2</t>
    </r>
  </si>
  <si>
    <t>M. ERRÁZURIZ / M. ERRÁZURIZ</t>
  </si>
  <si>
    <t>L:7-8</t>
  </si>
  <si>
    <t>EAA284A</t>
  </si>
  <si>
    <r>
      <rPr>
        <sz val="9"/>
        <color rgb="FF000000"/>
        <rFont val="Arial Narrow"/>
        <family val="2"/>
      </rPr>
      <t xml:space="preserve">DERECHO DE LA EMPRESA </t>
    </r>
    <r>
      <rPr>
        <vertAlign val="superscript"/>
        <sz val="11"/>
        <color theme="9" tint="-0.249977111117893"/>
        <rFont val="Arial Narrow"/>
        <family val="2"/>
      </rPr>
      <t>3</t>
    </r>
  </si>
  <si>
    <t xml:space="preserve">EAA2230 ó EAA218A ó EAA210E </t>
  </si>
  <si>
    <t>EAA2841</t>
  </si>
  <si>
    <r>
      <t xml:space="preserve">SOCIEDAD CIVIL Y FILANTROPIA </t>
    </r>
    <r>
      <rPr>
        <vertAlign val="superscript"/>
        <sz val="11"/>
        <color theme="9" tint="-0.249977111117893"/>
        <rFont val="Arial Narrow"/>
        <family val="2"/>
      </rPr>
      <t>3</t>
    </r>
    <r>
      <rPr>
        <vertAlign val="superscript"/>
        <sz val="11"/>
        <color theme="1"/>
        <rFont val="Arial Narrow"/>
        <family val="2"/>
      </rPr>
      <t>,</t>
    </r>
    <r>
      <rPr>
        <sz val="11"/>
        <color theme="1"/>
        <rFont val="Arial Narrow"/>
        <family val="2"/>
      </rPr>
      <t xml:space="preserve"> </t>
    </r>
    <r>
      <rPr>
        <vertAlign val="superscript"/>
        <sz val="11"/>
        <color rgb="FFC00000"/>
        <rFont val="Arial Narrow"/>
        <family val="2"/>
      </rPr>
      <t>4</t>
    </r>
    <r>
      <rPr>
        <vertAlign val="superscript"/>
        <sz val="11"/>
        <color theme="1"/>
        <rFont val="Arial Narrow"/>
        <family val="2"/>
      </rPr>
      <t xml:space="preserve">, </t>
    </r>
    <r>
      <rPr>
        <vertAlign val="superscript"/>
        <sz val="11"/>
        <color rgb="FF7030A0"/>
        <rFont val="Arial Narrow"/>
        <family val="2"/>
      </rPr>
      <t>5</t>
    </r>
  </si>
  <si>
    <t>A. HOLZAPFEL/P. STREETER</t>
  </si>
  <si>
    <t>EAA2230 o EAA218A o EAA200B</t>
  </si>
  <si>
    <t>M:5-6</t>
  </si>
  <si>
    <t>EAA296A</t>
  </si>
  <si>
    <t>ESTUDIOS EN ADMINISTRACIÓN DE EMPRESAS I</t>
  </si>
  <si>
    <t>EAE250A-UA05-AUTORIZACION DIRECCION</t>
  </si>
  <si>
    <r>
      <rPr>
        <sz val="10"/>
        <rFont val="Arial Narrow"/>
        <family val="2"/>
      </rPr>
      <t>Minor</t>
    </r>
    <r>
      <rPr>
        <sz val="10"/>
        <color rgb="FF0070C0"/>
        <rFont val="Arial Narrow"/>
        <family val="2"/>
      </rPr>
      <t xml:space="preserve">: </t>
    </r>
    <r>
      <rPr>
        <vertAlign val="superscript"/>
        <sz val="10"/>
        <color rgb="FF0070C0"/>
        <rFont val="Arial Narrow"/>
        <family val="2"/>
      </rPr>
      <t>1</t>
    </r>
    <r>
      <rPr>
        <sz val="10"/>
        <color rgb="FF0070C0"/>
        <rFont val="Arial Narrow"/>
        <family val="2"/>
      </rPr>
      <t>Políticas Públicas (PP) /</t>
    </r>
    <r>
      <rPr>
        <sz val="10"/>
        <color rgb="FF00B050"/>
        <rFont val="Arial Narrow"/>
        <family val="2"/>
      </rPr>
      <t xml:space="preserve"> </t>
    </r>
    <r>
      <rPr>
        <vertAlign val="superscript"/>
        <sz val="10"/>
        <color rgb="FF00B050"/>
        <rFont val="Arial Narrow"/>
        <family val="2"/>
      </rPr>
      <t>2</t>
    </r>
    <r>
      <rPr>
        <sz val="10"/>
        <color rgb="FF00B050"/>
        <rFont val="Arial Narrow"/>
        <family val="2"/>
      </rPr>
      <t>Macroeconomía y Finanzas (MF)</t>
    </r>
    <r>
      <rPr>
        <sz val="10"/>
        <color rgb="FF0070C0"/>
        <rFont val="Arial Narrow"/>
        <family val="2"/>
      </rPr>
      <t xml:space="preserve">  /</t>
    </r>
    <r>
      <rPr>
        <sz val="10"/>
        <color theme="9" tint="-0.249977111117893"/>
        <rFont val="Arial Narrow"/>
        <family val="2"/>
      </rPr>
      <t xml:space="preserve"> </t>
    </r>
    <r>
      <rPr>
        <vertAlign val="superscript"/>
        <sz val="10"/>
        <color theme="9" tint="-0.249977111117893"/>
        <rFont val="Arial Narrow"/>
        <family val="2"/>
      </rPr>
      <t>3</t>
    </r>
    <r>
      <rPr>
        <sz val="10"/>
        <color theme="9" tint="-0.249977111117893"/>
        <rFont val="Arial Narrow"/>
        <family val="2"/>
      </rPr>
      <t xml:space="preserve">Innovación (IN) </t>
    </r>
    <r>
      <rPr>
        <sz val="10"/>
        <color rgb="FF0070C0"/>
        <rFont val="Arial Narrow"/>
        <family val="2"/>
      </rPr>
      <t xml:space="preserve">/ </t>
    </r>
    <r>
      <rPr>
        <vertAlign val="superscript"/>
        <sz val="10"/>
        <color rgb="FFC00000"/>
        <rFont val="Arial Narrow"/>
        <family val="2"/>
      </rPr>
      <t>4</t>
    </r>
    <r>
      <rPr>
        <sz val="10"/>
        <color rgb="FFC00000"/>
        <rFont val="Arial Narrow"/>
        <family val="2"/>
      </rPr>
      <t>Sustentabilidad (S)</t>
    </r>
    <r>
      <rPr>
        <sz val="10"/>
        <color rgb="FF0070C0"/>
        <rFont val="Arial Narrow"/>
        <family val="2"/>
      </rPr>
      <t xml:space="preserve"> / </t>
    </r>
    <r>
      <rPr>
        <vertAlign val="superscript"/>
        <sz val="10"/>
        <color rgb="FF7030A0"/>
        <rFont val="Arial Narrow"/>
        <family val="2"/>
      </rPr>
      <t>5</t>
    </r>
    <r>
      <rPr>
        <sz val="10"/>
        <color rgb="FF7030A0"/>
        <rFont val="Arial Narrow"/>
        <family val="2"/>
      </rPr>
      <t>Persona y Sociedad (PS)</t>
    </r>
  </si>
  <si>
    <t/>
  </si>
  <si>
    <t>EAA305A</t>
  </si>
  <si>
    <t>DIRECCIÓN DE EMPRESAS Y ESTRATEGIA</t>
  </si>
  <si>
    <t>J. RIVERA</t>
  </si>
  <si>
    <t>EAA223A(c) y EAA230A y EAA240A y EAA321B(c)</t>
  </si>
  <si>
    <t>J. TARZIJAN</t>
  </si>
  <si>
    <t>EAA3401</t>
  </si>
  <si>
    <t>EAA2110 y EAA2240 y EAA2320 y EAA3201(c)</t>
  </si>
  <si>
    <t>EAA305E</t>
  </si>
  <si>
    <t xml:space="preserve">CREACIÓN DE NUEVAS EMPRESAS      </t>
  </si>
  <si>
    <t>M.C. LECAROS</t>
  </si>
  <si>
    <t>EAA305A-EAA321B</t>
  </si>
  <si>
    <t>-</t>
  </si>
  <si>
    <t>EAA3601</t>
  </si>
  <si>
    <t>EAA3401-EAA3201 y EAA2420</t>
  </si>
  <si>
    <t>EAA321B</t>
  </si>
  <si>
    <t>FINANZAS II</t>
  </si>
  <si>
    <t xml:space="preserve">EAA220B                       </t>
  </si>
  <si>
    <t>J.P. GOROSTIAGA</t>
  </si>
  <si>
    <t>F. JOANNON</t>
  </si>
  <si>
    <t>EAA3201</t>
  </si>
  <si>
    <t>DIRECCIÓN FINANCIERA</t>
  </si>
  <si>
    <t>EAA2240 o EAA223A</t>
  </si>
  <si>
    <t>EAA3501</t>
  </si>
  <si>
    <t>GESTIÓN DE OPERACIONES</t>
  </si>
  <si>
    <t>(EAA2420 y EAE2510) o (EAE2130 y EAE2510)</t>
  </si>
  <si>
    <t>EAA3101</t>
  </si>
  <si>
    <t>LIDERAZGO ESTRATÉGICO</t>
  </si>
  <si>
    <t>V. VÁSQUEZ</t>
  </si>
  <si>
    <t>(EAA2110 y EAA3401) o (EAA240A y EAA305A)</t>
  </si>
  <si>
    <t>L:3-4</t>
  </si>
  <si>
    <t>M:2-3</t>
  </si>
  <si>
    <t>J:2-3</t>
  </si>
  <si>
    <t>EAA3500</t>
  </si>
  <si>
    <t>PRÁCTICA PROFESIONAL</t>
  </si>
  <si>
    <t>EAF2500 y EAA3401 y EAA3201 y  EAA2420</t>
  </si>
  <si>
    <t>EAA3411</t>
  </si>
  <si>
    <t>ESTRATEGIA COMPETITIVA APLICADA</t>
  </si>
  <si>
    <t>(EAE2510 y EAA2420(c)) o (EAE2510 y EAE2130(c))</t>
  </si>
  <si>
    <t>EAA3112</t>
  </si>
  <si>
    <t>LA PERSONA DEL LIDER</t>
  </si>
  <si>
    <t>M:3-4</t>
  </si>
  <si>
    <t>EAA317A</t>
  </si>
  <si>
    <t>LIDERAZGO ORIENTADO POR VALORES</t>
  </si>
  <si>
    <t>C. PAUL / T. KAPLAN</t>
  </si>
  <si>
    <t>EAF2500</t>
  </si>
  <si>
    <t>M:1-2</t>
  </si>
  <si>
    <t>V:5</t>
  </si>
  <si>
    <t>EAA3119</t>
  </si>
  <si>
    <t>INTELIGENCIA EMOCIONAL EN LA EMPRESA</t>
  </si>
  <si>
    <t>N. ABARCA</t>
  </si>
  <si>
    <t>W:2-3</t>
  </si>
  <si>
    <t>L:3</t>
  </si>
  <si>
    <t>EAA3210</t>
  </si>
  <si>
    <t>TEORÍA DE INVERSIONES</t>
  </si>
  <si>
    <t>E. WALKER</t>
  </si>
  <si>
    <t>(EAA2240 ó EAA223A) y (EAE2510 ó EAE250A)</t>
  </si>
  <si>
    <t>L:4</t>
  </si>
  <si>
    <t>EAA3218</t>
  </si>
  <si>
    <t>INVERSIÓN EN ACTIVOS ALTERNATIVOS</t>
  </si>
  <si>
    <t>R.MOGROVEJO</t>
  </si>
  <si>
    <t>(EAA3201(c) o EAA321B(c)) y (EAA2240 o EAA223A)</t>
  </si>
  <si>
    <t>W:1-2</t>
  </si>
  <si>
    <t>EAA3223</t>
  </si>
  <si>
    <t>FUNDAMENTOS DE FINANZAS SOSTENIBLES</t>
  </si>
  <si>
    <t>EAA3226</t>
  </si>
  <si>
    <t>FUSIONES Y ADQUISICIONES</t>
  </si>
  <si>
    <t>G. CLIVIO</t>
  </si>
  <si>
    <t>EAA321B o EAA3201</t>
  </si>
  <si>
    <t>EAA3236</t>
  </si>
  <si>
    <t>ANALISIS FINANCIERO APLICADO</t>
  </si>
  <si>
    <t>JM. BULNES</t>
  </si>
  <si>
    <t>EAA3201 concurrente ó EAA321B concurrente</t>
  </si>
  <si>
    <t>L:1-2</t>
  </si>
  <si>
    <t>EAA3241</t>
  </si>
  <si>
    <t>LABORATORIO DE BANCA DE INVERSIÓN</t>
  </si>
  <si>
    <t>M. SINGER</t>
  </si>
  <si>
    <t>EAA321B(c) o EAA3201(c)</t>
  </si>
  <si>
    <t>L:6-7</t>
  </si>
  <si>
    <t>L:5</t>
  </si>
  <si>
    <t>EAA3315</t>
  </si>
  <si>
    <t>ESTRATEGIAS DE COMUNICACIÓN DIGITAL</t>
  </si>
  <si>
    <t xml:space="preserve">P. VALENZUELA </t>
  </si>
  <si>
    <t>(EAA2320 y ETI209) ó (EAA2310 y EAA251A)</t>
  </si>
  <si>
    <t>EAA3341</t>
  </si>
  <si>
    <t>COMPORTAMIENTO DEL CONSUMIDOR</t>
  </si>
  <si>
    <t>C. GONZÁLEZ</t>
  </si>
  <si>
    <t>(EAA2320 y EAA2110) ó (EAA2310 y EAA251A)</t>
  </si>
  <si>
    <t>W:3-4</t>
  </si>
  <si>
    <t>EAA3351</t>
  </si>
  <si>
    <t>GESTIÓN Y DIRECCIÓN DE VENTAS</t>
  </si>
  <si>
    <t>C. GUZMÁN</t>
  </si>
  <si>
    <t>EAA3381</t>
  </si>
  <si>
    <t>GESTIÓN DEL VALOR DEL CLIENTE</t>
  </si>
  <si>
    <t>A. IBÁÑEZ</t>
  </si>
  <si>
    <t>EAA3382</t>
  </si>
  <si>
    <t>RETAIL Y ENTENDIMIENTO DEL SHOPPER</t>
  </si>
  <si>
    <t>EAA3391</t>
  </si>
  <si>
    <t>EXPERIENCIA DEL CLIENTE: DISEÑO, GESTIÓN E IMPACTO</t>
  </si>
  <si>
    <t>EAA3392</t>
  </si>
  <si>
    <t>ESTRATEGIA DE PRODUCTO Y MARCA</t>
  </si>
  <si>
    <t xml:space="preserve">M-J:3 </t>
  </si>
  <si>
    <t>EAA3406</t>
  </si>
  <si>
    <t>ESTRATEGIA Y SUSTENTABILIDAD</t>
  </si>
  <si>
    <t>C. RAMÍREZ</t>
  </si>
  <si>
    <t>(EAA2420 o EAE2130) y ETI209 y EAA2240 concurrente</t>
  </si>
  <si>
    <t>EAA361A</t>
  </si>
  <si>
    <t>ANÁLISIS DE BIG DATA</t>
  </si>
  <si>
    <t>EAA2210 y EAA2320</t>
  </si>
  <si>
    <t>27/may:7</t>
  </si>
  <si>
    <t>EAA396A</t>
  </si>
  <si>
    <t>ESTUDIOS EN ADMINISTRACIÓN DE EMPRESAS II</t>
  </si>
  <si>
    <t>J. GALVEZ</t>
  </si>
  <si>
    <t>EAE250A o EAE2510</t>
  </si>
  <si>
    <t xml:space="preserve">MAGISTER EN FINANZAS </t>
  </si>
  <si>
    <t xml:space="preserve"> </t>
  </si>
  <si>
    <t>EAA3290</t>
  </si>
  <si>
    <t>SEMINARIO FINAL DE GRADUACIÓN (MAGISTER FINANZAS)</t>
  </si>
  <si>
    <t>C. SILVA / B. LARRAÍN / M. VALENZUELA</t>
  </si>
  <si>
    <t>DIRECCION POSGRADO ADMINISTRACION</t>
  </si>
  <si>
    <t>CURSOS DE SERVICIO ESCUELA DE ADMINISTRACIÓN</t>
  </si>
  <si>
    <t>EAA201E</t>
  </si>
  <si>
    <t>TÓPICOS PARA EMPRENDER I: MARKETING Y SERVICIOS</t>
  </si>
  <si>
    <t>V. FABRES</t>
  </si>
  <si>
    <t>UA DISTINTA DE 05 Y 80 CREDITOS APROBADOS</t>
  </si>
  <si>
    <t>EAA208E</t>
  </si>
  <si>
    <t>DESAFÍOS PARA LA CREACIÓN DE EMPRESAS (Diseño-Lo Contador)</t>
  </si>
  <si>
    <t>C. HERNÁNDEZ</t>
  </si>
  <si>
    <t>EAA210E</t>
  </si>
  <si>
    <t>FUNDAMENTOS DE GESTIÓN FINANCIERA</t>
  </si>
  <si>
    <t>EAA110A</t>
  </si>
  <si>
    <t>CONTABILIDAD  I</t>
  </si>
  <si>
    <t>PROGRAMACIÓN DE CURSOS PRIMER SEMESTRE DEL 2025</t>
  </si>
  <si>
    <t>INSTITUTO DE  ECONOMÍA</t>
  </si>
  <si>
    <t>INSTITUTO DE ECONOMÍA</t>
  </si>
  <si>
    <t>CURSOS MÍNIMOS LICENCIATURA</t>
  </si>
  <si>
    <t>EAE1110</t>
  </si>
  <si>
    <t xml:space="preserve">INTRODUCCIÓN A LA MICROECONOMÍA  </t>
  </si>
  <si>
    <t>S. FLEITAS</t>
  </si>
  <si>
    <t xml:space="preserve">ADMISIÓN                      </t>
  </si>
  <si>
    <t>V:4- W:7</t>
  </si>
  <si>
    <t>9/abr:7 y 28/may:7</t>
  </si>
  <si>
    <t>M. BESFAMILLE</t>
  </si>
  <si>
    <t>F. SILVA</t>
  </si>
  <si>
    <t>A. TRAFERRI</t>
  </si>
  <si>
    <t>S. BLACKBURN</t>
  </si>
  <si>
    <t>S. NAVARRO</t>
  </si>
  <si>
    <t>EAE1210</t>
  </si>
  <si>
    <t>INTRODUCCIÓN A LA MACROECONOMÍA</t>
  </si>
  <si>
    <t>J. URQUIZA</t>
  </si>
  <si>
    <t>V.4- W:7</t>
  </si>
  <si>
    <t>A. GUIN-PO</t>
  </si>
  <si>
    <t>F. MARTÍNEZ</t>
  </si>
  <si>
    <t>EAE1220</t>
  </si>
  <si>
    <t>ANÁLISIS ECONÓMICO: LA EXPERIENCIA CHILENA</t>
  </si>
  <si>
    <t>J. DÍAZ</t>
  </si>
  <si>
    <t>M. GARCÍA</t>
  </si>
  <si>
    <t>J. AGUIRRE</t>
  </si>
  <si>
    <t xml:space="preserve">MICROECONOMÍA I                  </t>
  </si>
  <si>
    <t>B. VIAL</t>
  </si>
  <si>
    <t xml:space="preserve">(EAE1220 y EAF2010) </t>
  </si>
  <si>
    <t>H. SILVA</t>
  </si>
  <si>
    <t>EAE2120</t>
  </si>
  <si>
    <t>MICROECONOMÍA II</t>
  </si>
  <si>
    <t>EAE210B</t>
  </si>
  <si>
    <t>N. FIGUEROA</t>
  </si>
  <si>
    <t>V.4</t>
  </si>
  <si>
    <t>F. ZURITA</t>
  </si>
  <si>
    <t>E. GARCIA-LEMBERGMAN</t>
  </si>
  <si>
    <t xml:space="preserve">MICROECONOMÍA II </t>
  </si>
  <si>
    <t>S. AKIN</t>
  </si>
  <si>
    <t>EAE2210</t>
  </si>
  <si>
    <t xml:space="preserve">MACROECONOMÍA I </t>
  </si>
  <si>
    <t>R. FUENTES</t>
  </si>
  <si>
    <t>EAE1220 y EAE2510(c)</t>
  </si>
  <si>
    <t>L. CANCINO</t>
  </si>
  <si>
    <t>R. SOTO</t>
  </si>
  <si>
    <t>EAE2220</t>
  </si>
  <si>
    <t>MACROECONOMÍA II</t>
  </si>
  <si>
    <t>EAE2210 o EAE220D</t>
  </si>
  <si>
    <t>J. TUREN</t>
  </si>
  <si>
    <t>A. NAUDON</t>
  </si>
  <si>
    <t>L-W:6</t>
  </si>
  <si>
    <t>EAE2130</t>
  </si>
  <si>
    <t xml:space="preserve">COMPETENCIA Y MERCADO            </t>
  </si>
  <si>
    <t>EAE240B</t>
  </si>
  <si>
    <t>MACROECONOMÍA INTERNACIONAL*</t>
  </si>
  <si>
    <t>M. GONZÁLEZ</t>
  </si>
  <si>
    <t>(EAE211B y EAE221B) o (EAE2120 y EAE2220)</t>
  </si>
  <si>
    <t>EAE2510</t>
  </si>
  <si>
    <t xml:space="preserve">ECONOMETRÍA I                    </t>
  </si>
  <si>
    <t>J. CASASSUS</t>
  </si>
  <si>
    <t>Admisión 2020-2023: MAT1279 - EAA1520 y  IIC1103</t>
  </si>
  <si>
    <t>W:6/L:6</t>
  </si>
  <si>
    <t>Admisión 2024 y posteriores: EAE1520 y  MAT1279</t>
  </si>
  <si>
    <t>T. RAU</t>
  </si>
  <si>
    <t>S. LAMP</t>
  </si>
  <si>
    <t>* Solo para alumnos admisión 2019 o anteriores.</t>
  </si>
  <si>
    <t>Estudiantes de admisión 2010 a 2019  deben tomar 20 créditos de cursos optativos 200 del Instituto de Economía</t>
  </si>
  <si>
    <t>EAE2113</t>
  </si>
  <si>
    <t>C. MUÑOZ</t>
  </si>
  <si>
    <t>(EAE1220 o EAE130A) y (EAE2510(c) o EAE250A(c))</t>
  </si>
  <si>
    <t>L:6</t>
  </si>
  <si>
    <t>EAE2215</t>
  </si>
  <si>
    <r>
      <t xml:space="preserve">DESARROLLO ECONÓMICO Y SUSTENTABLE EN AMÉRICA LATINA </t>
    </r>
    <r>
      <rPr>
        <vertAlign val="superscript"/>
        <sz val="11"/>
        <color rgb="FF0070C0"/>
        <rFont val="Arial Narrow"/>
        <family val="2"/>
      </rPr>
      <t xml:space="preserve">1, </t>
    </r>
    <r>
      <rPr>
        <vertAlign val="superscript"/>
        <sz val="11"/>
        <color rgb="FF00B050"/>
        <rFont val="Arial Narrow"/>
        <family val="2"/>
      </rPr>
      <t>2</t>
    </r>
    <r>
      <rPr>
        <vertAlign val="superscript"/>
        <sz val="11"/>
        <color theme="1"/>
        <rFont val="Arial Narrow"/>
        <family val="2"/>
      </rPr>
      <t>,</t>
    </r>
    <r>
      <rPr>
        <vertAlign val="superscript"/>
        <sz val="11"/>
        <color rgb="FFFF0000"/>
        <rFont val="Arial Narrow"/>
        <family val="2"/>
      </rPr>
      <t xml:space="preserve"> 4</t>
    </r>
  </si>
  <si>
    <t>F. LARRAÍN</t>
  </si>
  <si>
    <t>EAE221B(C) O EAE2220(C)</t>
  </si>
  <si>
    <t>M:5</t>
  </si>
  <si>
    <t>EAE2223</t>
  </si>
  <si>
    <r>
      <t xml:space="preserve">SUSTENTABILIDAD: ¿CÓMO ALCANZAR UN DESARROLLO ECONÓMICO, SOCIAL Y SOSTENIBLE? </t>
    </r>
    <r>
      <rPr>
        <vertAlign val="superscript"/>
        <sz val="11"/>
        <color rgb="FF0070C0"/>
        <rFont val="Arial Narrow"/>
        <family val="2"/>
      </rPr>
      <t>1</t>
    </r>
    <r>
      <rPr>
        <vertAlign val="superscript"/>
        <sz val="11"/>
        <color rgb="FFFF0000"/>
        <rFont val="Arial Narrow"/>
        <family val="2"/>
      </rPr>
      <t>, 4</t>
    </r>
  </si>
  <si>
    <t>F. JORDÁN</t>
  </si>
  <si>
    <t>EAE2110 y EAE2210 y EAE2510</t>
  </si>
  <si>
    <t>EAE2228</t>
  </si>
  <si>
    <r>
      <t xml:space="preserve">TÓPICOS MACROFINANCIEROS EN LOS MERCADOS GLOBALES </t>
    </r>
    <r>
      <rPr>
        <b/>
        <vertAlign val="superscript"/>
        <sz val="11"/>
        <color rgb="FF00B050"/>
        <rFont val="Arial Narrow"/>
        <family val="2"/>
      </rPr>
      <t>2</t>
    </r>
  </si>
  <si>
    <t>J. CARIOLA</t>
  </si>
  <si>
    <t>EAE2110 y EAE2210 y EAA2210</t>
  </si>
  <si>
    <t>J:2</t>
  </si>
  <si>
    <t>EAE2305</t>
  </si>
  <si>
    <t>J.P. ARELLANO / J. VIAL</t>
  </si>
  <si>
    <t xml:space="preserve">EAE2110 Y EAA1520 </t>
  </si>
  <si>
    <t>EAE2306</t>
  </si>
  <si>
    <t>J. LAFORTUNE</t>
  </si>
  <si>
    <t>EAE2110 y EAE2510</t>
  </si>
  <si>
    <t>EAE273A</t>
  </si>
  <si>
    <r>
      <t xml:space="preserve">PROTECCIÓN DE LA LIBRE COMPETENCIA: ASPECTOS ECONÓMICOS Y JURÍDICOS </t>
    </r>
    <r>
      <rPr>
        <vertAlign val="superscript"/>
        <sz val="11"/>
        <color rgb="FF0070C0"/>
        <rFont val="Arial Narrow"/>
        <family val="2"/>
      </rPr>
      <t>1</t>
    </r>
    <r>
      <rPr>
        <vertAlign val="superscript"/>
        <sz val="11"/>
        <color theme="1"/>
        <rFont val="Arial Narrow"/>
        <family val="2"/>
      </rPr>
      <t>,</t>
    </r>
    <r>
      <rPr>
        <vertAlign val="superscript"/>
        <sz val="11"/>
        <color rgb="FF7030A0"/>
        <rFont val="Arial Narrow"/>
        <family val="2"/>
      </rPr>
      <t xml:space="preserve"> 5</t>
    </r>
  </si>
  <si>
    <t>ML. DOMPER</t>
  </si>
  <si>
    <t>EAE286A</t>
  </si>
  <si>
    <t>EAE130A</t>
  </si>
  <si>
    <t>EAE299A</t>
  </si>
  <si>
    <t>CURSO DE INVESTIGACIÓN EN ECONOMÍA (ECONOMÍA 200)</t>
  </si>
  <si>
    <t>E. DEPETRIS (COORD.)</t>
  </si>
  <si>
    <t>EAE250A y AUTORIZACIÓN COORDINADOR</t>
  </si>
  <si>
    <t>EAE300B</t>
  </si>
  <si>
    <t xml:space="preserve">SEMINARIO DE TÍTULO </t>
  </si>
  <si>
    <t>EAE310B-EAE320B-EAE350B</t>
  </si>
  <si>
    <t>EAE310B</t>
  </si>
  <si>
    <t xml:space="preserve">TEORÍA MICROECONÓMICA I         </t>
  </si>
  <si>
    <t>T. HEUMANN</t>
  </si>
  <si>
    <t>(EAE2120 o EAE211B o EAE3151) y EAE319B(c)</t>
  </si>
  <si>
    <t>EAE320B</t>
  </si>
  <si>
    <t>TEORIA MACROECONÓMICA I</t>
  </si>
  <si>
    <t>A. JANIAK</t>
  </si>
  <si>
    <t>EAE319B(c) y (EAE221B o EAE2220 o EAE3201)</t>
  </si>
  <si>
    <t>EAE319B</t>
  </si>
  <si>
    <t>ECONOMÍA MATEMATICA</t>
  </si>
  <si>
    <t>C. MACHADO</t>
  </si>
  <si>
    <t>EAE210B ó ADM. MAGISTER</t>
  </si>
  <si>
    <t>EAE350B</t>
  </si>
  <si>
    <t>TEORÍA ECONOMÉTRICA I (INGLÉS)</t>
  </si>
  <si>
    <t>P. PICCHETTI</t>
  </si>
  <si>
    <t>EAE250A ó ADM. MAGISTER</t>
  </si>
  <si>
    <t>EAE3210</t>
  </si>
  <si>
    <t xml:space="preserve">MACROECONOMÍA INTERNACIONAL           </t>
  </si>
  <si>
    <t xml:space="preserve">A. VICONDOA </t>
  </si>
  <si>
    <t>EAE221B-EAE211B</t>
  </si>
  <si>
    <t>EAE3101</t>
  </si>
  <si>
    <t>MICROECONOMETRÍA APLICADA</t>
  </si>
  <si>
    <t>M. ARTILES</t>
  </si>
  <si>
    <t>Adm. Magister ó (EAE211B o EAE2120 o EAE3151) y (EAE250A o EAE2510)</t>
  </si>
  <si>
    <t>M:6</t>
  </si>
  <si>
    <t>EAE3102</t>
  </si>
  <si>
    <t>MACROECONOMETRÍA APLICADA</t>
  </si>
  <si>
    <t>Adm. Magister ó (EAE221B o EAE2220 o EAE3201) y (EAE250A o EAE2510)</t>
  </si>
  <si>
    <t>14/may:7</t>
  </si>
  <si>
    <t>EAE250A ó Adm. Magister</t>
  </si>
  <si>
    <t>EAE3601</t>
  </si>
  <si>
    <t>DESAFÍOS EN ECONOMÍA APLICADA</t>
  </si>
  <si>
    <t>M. GARCIA</t>
  </si>
  <si>
    <t>(EAE2130 o EAE234A) y (EAE3210 o EAE240B) y (EAE3101 o EAE3102 o EAE350B)</t>
  </si>
  <si>
    <t>M:6-7</t>
  </si>
  <si>
    <t>EAE3500</t>
  </si>
  <si>
    <t>EAF2500 y  EAE2130 y EAE3210 y (EAE3101 o EAE3102 o EAE350B)</t>
  </si>
  <si>
    <t>EAE3801*</t>
  </si>
  <si>
    <t>FUNDAMENTOS DE MATEMÁTICAS PARA ECONOMÍA*</t>
  </si>
  <si>
    <t xml:space="preserve">CURSOS NIVEL 3000 (MÍNIMOS Y OPTATIVOS) MAGISTER EN ECONOMÍA, OPTATIVOS MENCIÓN ECONOMÍA </t>
  </si>
  <si>
    <t>EAE300M</t>
  </si>
  <si>
    <t>TESIS DE MAGISTER (MICROECONOMÍA)</t>
  </si>
  <si>
    <t>COMISION</t>
  </si>
  <si>
    <t>EAE310B y EAE319B y EAE320B y EAE350B Y CURRI 050201</t>
  </si>
  <si>
    <t xml:space="preserve">TEORIA MICROECONÓMICA I </t>
  </si>
  <si>
    <t>P. PICHETTI</t>
  </si>
  <si>
    <t>EAE3976</t>
  </si>
  <si>
    <t>DESIGUALDAD EN MACROECONOMÍA</t>
  </si>
  <si>
    <t>A. AGUIRRE</t>
  </si>
  <si>
    <t>EAE342C</t>
  </si>
  <si>
    <t>TEORIA REAL DEL COMERCIO</t>
  </si>
  <si>
    <t>EAE3041</t>
  </si>
  <si>
    <t>ECONOMÍA POLÍTICA DE LA COHESIÓN SOCIAL</t>
  </si>
  <si>
    <t>E. DEPETRIS</t>
  </si>
  <si>
    <t>EAE399A</t>
  </si>
  <si>
    <t>ECONOMÍA 300</t>
  </si>
  <si>
    <t>EAE3151</t>
  </si>
  <si>
    <t>MICROECONOMÍA AVANZADA</t>
  </si>
  <si>
    <t>Adm Mag.Economía o Mag. Economía Aplicada</t>
  </si>
  <si>
    <t>M-J:7</t>
  </si>
  <si>
    <t>M:8</t>
  </si>
  <si>
    <t>EAE3201</t>
  </si>
  <si>
    <t>MACROECONOMÍA AVANZADA</t>
  </si>
  <si>
    <t>A. COBAS - M. SAN MILLAN</t>
  </si>
  <si>
    <t>L-W:7</t>
  </si>
  <si>
    <t>J:8</t>
  </si>
  <si>
    <t>MICROECONOMETRIA APLICADA</t>
  </si>
  <si>
    <t xml:space="preserve"> Adm. Mag. ó (EAE211B o EAE2120 o EAE3151) y (EAE250A o EAE2510)</t>
  </si>
  <si>
    <t>MACROECONOMETRIA APLICADA</t>
  </si>
  <si>
    <t>Adm. Mag. ó (EAE221B o EAE2220 o EAE3201) y (EAE250A o EAE2510)</t>
  </si>
  <si>
    <t>EAE3202</t>
  </si>
  <si>
    <t>POLÍTICA MACROECONÓMICA</t>
  </si>
  <si>
    <t>B. PIEDRABUENA</t>
  </si>
  <si>
    <t>EAE3551</t>
  </si>
  <si>
    <t>POLITICA DE COMPETENCIA Y REGULACION</t>
  </si>
  <si>
    <t>T. KRUSSIG - A. ACEVEDO</t>
  </si>
  <si>
    <t>EAE3101(c) o EAE310B(c) o EAE211B o EAE2120</t>
  </si>
  <si>
    <t>EAE3342</t>
  </si>
  <si>
    <t>ECONOMÍA DE TRANSPORTE</t>
  </si>
  <si>
    <t>EAE211B o EAE2120 o EAE3151 o EAE3101(c)</t>
  </si>
  <si>
    <t>EAE3701</t>
  </si>
  <si>
    <t>ECONOMÍA DE LAS POLITICAS SOCIALES</t>
  </si>
  <si>
    <t>C. ALVAREZ/ F. MORENO</t>
  </si>
  <si>
    <t>EAE3101(c) o (EAE211B y EAE350B(c)) o (EAE211B y EAE250A) o (EAE3151 y EAE350B(c)) o (EAE250A y EAE3151) o (EAE310B(c) y EAE350B(c)) o (EAE250A y EAE310B(c))</t>
  </si>
  <si>
    <t>EAE3718</t>
  </si>
  <si>
    <t>LA ECONOMÍA GLOBAL</t>
  </si>
  <si>
    <t>EAE3711</t>
  </si>
  <si>
    <t>TÓPICOS EN MICROECONOMETRÍA APLICADA Y MÉDOTOS CUASI EXPERIMENTALES</t>
  </si>
  <si>
    <t>R. COOPER</t>
  </si>
  <si>
    <t>J:3</t>
  </si>
  <si>
    <t>EAE3709</t>
  </si>
  <si>
    <t>APLICACIONES DE MACHINE LEARNING EN ECONOMÍA</t>
  </si>
  <si>
    <t>J. PÉREZ - R. CONTRERAS</t>
  </si>
  <si>
    <t>L-W:8 </t>
  </si>
  <si>
    <t>J:8 </t>
  </si>
  <si>
    <t>EAE3703</t>
  </si>
  <si>
    <t>DESARROLLO ECONÓMICO EN AMÉRICA LATINA</t>
  </si>
  <si>
    <t>G. GONZALEZ</t>
  </si>
  <si>
    <t>EAE3102(c) o EAE320B(c) o EAE221B o EAE2220 o EAE3201</t>
  </si>
  <si>
    <t>EAE3713</t>
  </si>
  <si>
    <t>GESTIÓN Y REGULACIÓN DE RIESGOS FINANCIEROS</t>
  </si>
  <si>
    <t>J.M. CRUZ</t>
  </si>
  <si>
    <t>EAE3301</t>
  </si>
  <si>
    <t>L-V:4</t>
  </si>
  <si>
    <t>EAE3719</t>
  </si>
  <si>
    <t>TOPICOS EN ECONOMÍA FINANCIERA</t>
  </si>
  <si>
    <t>EAE3952</t>
  </si>
  <si>
    <t>PROYECTO DE GRADO: MACROECONOMÍA</t>
  </si>
  <si>
    <t>JEFA DE PROGRAMA MAE</t>
  </si>
  <si>
    <t>EAE3102 (c) y Mag. Economía Aplicada</t>
  </si>
  <si>
    <t>EAE3953</t>
  </si>
  <si>
    <t>PROYECTO DE GRADO: POLÍTICAS PÚBLICAS</t>
  </si>
  <si>
    <t>EAE3351 (c) y Mag. Economía Aplicada</t>
  </si>
  <si>
    <t>EAE3954</t>
  </si>
  <si>
    <t>PROYECTO DE GRADO: ECONOMÍA FINANCIERA</t>
  </si>
  <si>
    <t>EAE3301 (c) y Mag. Economía Aplicada</t>
  </si>
  <si>
    <t xml:space="preserve">CURSOS NIVEL 4000 (MÍNIMOS Y OPTATIVOS) DOCTORADO EN ECONOMÍA </t>
  </si>
  <si>
    <t>Admisiones 2024 y posteriores</t>
  </si>
  <si>
    <t>EAE5200</t>
  </si>
  <si>
    <t>TEORIA ECONOMETRICA I (INGLÉS)</t>
  </si>
  <si>
    <t>EAE5300</t>
  </si>
  <si>
    <t>MÉTODOS MATEMÁTICOS PARA ECONOMÍA</t>
  </si>
  <si>
    <t>EAE5000</t>
  </si>
  <si>
    <t xml:space="preserve">TEORIA MICROECONOMICA I         </t>
  </si>
  <si>
    <t>EAE5100</t>
  </si>
  <si>
    <t>TEORIA MACROECONOMICA I</t>
  </si>
  <si>
    <t>EAE4204</t>
  </si>
  <si>
    <t>EAE4354</t>
  </si>
  <si>
    <t>EAE5403</t>
  </si>
  <si>
    <t>SEMINARIO ACADÉMICO I</t>
  </si>
  <si>
    <t>JEFE DE PROGRAMA</t>
  </si>
  <si>
    <t>ADM. DOCTORADO</t>
  </si>
  <si>
    <t>EAE5404</t>
  </si>
  <si>
    <t>SEMINARIO ACADÉMICO II</t>
  </si>
  <si>
    <t>EAE5407</t>
  </si>
  <si>
    <t>DOCENCIA EN ECONOMÍA</t>
  </si>
  <si>
    <t>EAE5401</t>
  </si>
  <si>
    <t>EXAMEN PRELIMINAR MÓDULO I</t>
  </si>
  <si>
    <t>EAE5402</t>
  </si>
  <si>
    <t>EXAMEN PRELIMINAR MÓDULO II</t>
  </si>
  <si>
    <t>EAE5405</t>
  </si>
  <si>
    <t>PROYECTO DE TESIS</t>
  </si>
  <si>
    <t>EAE5406</t>
  </si>
  <si>
    <t>EXAMEN DE CANDIDATURA</t>
  </si>
  <si>
    <t>EAE5501</t>
  </si>
  <si>
    <t>TESIS DE DOCTORADO I</t>
  </si>
  <si>
    <t>EAE5502</t>
  </si>
  <si>
    <t>TESIS DE DOCTORADO II</t>
  </si>
  <si>
    <t>EAE5503</t>
  </si>
  <si>
    <t>TESIS DE DOCTORADO III</t>
  </si>
  <si>
    <t>EAE5504</t>
  </si>
  <si>
    <t>TESIS DE DOCTORADO IV</t>
  </si>
  <si>
    <t>EAE5410</t>
  </si>
  <si>
    <t>PASANTÍA</t>
  </si>
  <si>
    <t>EAE5408</t>
  </si>
  <si>
    <t>ACTIVIDAD ANUAL DE SEGUIMIENTO I</t>
  </si>
  <si>
    <t>EAE5409</t>
  </si>
  <si>
    <t>ACTIVIDAD ANUAL DE SEGUIMIENTO II</t>
  </si>
  <si>
    <t>EAE4501</t>
  </si>
  <si>
    <t>ECONOMIA DOCTORADO</t>
  </si>
  <si>
    <t>EAE5411</t>
  </si>
  <si>
    <t>ARTÍCULO CIENTÍFICO</t>
  </si>
  <si>
    <t>CURSOS DE SERVICIO INSTITUTO DE ECONOMÍA</t>
  </si>
  <si>
    <t>EAE105A</t>
  </si>
  <si>
    <t>INTRODUCCIÓN A LA ECONOMÍA</t>
  </si>
  <si>
    <t>MAXIMILIANO ALARCÓN</t>
  </si>
  <si>
    <t>ADMISIÓN UA11  (AGRONOMÍA)</t>
  </si>
  <si>
    <t>V:1 - J:7</t>
  </si>
  <si>
    <t>LILIANA CANCINO</t>
  </si>
  <si>
    <t>V:3 - J:7</t>
  </si>
  <si>
    <t>ROBERTO CASES</t>
  </si>
  <si>
    <t>ADMISIÓN UA09  (COLLEGE)</t>
  </si>
  <si>
    <t>JOSÉ TOMÁS VERGARA</t>
  </si>
  <si>
    <t>RUBÉN JARA </t>
  </si>
  <si>
    <t>ADMISIÓN UA17 (CASA CENTRAL-COMUNICACIONES)</t>
  </si>
  <si>
    <t>L:6 - J:7</t>
  </si>
  <si>
    <t>CARLOS WILLIAMSON</t>
  </si>
  <si>
    <t>ADMISIÓN UA17 (CASA CENTRAL-DERECHO)</t>
  </si>
  <si>
    <t xml:space="preserve">M-J:1 </t>
  </si>
  <si>
    <t>L:5 - (L:6-J:7)</t>
  </si>
  <si>
    <t>MIGUEL DE IRUARRIZAGA</t>
  </si>
  <si>
    <t>SIMÓN PÉREZ</t>
  </si>
  <si>
    <t>ALBERTO SASMAY</t>
  </si>
  <si>
    <t>RAFAEL TORREALBA</t>
  </si>
  <si>
    <t>ADMISIÓN UA01 (C.CIVIL)</t>
  </si>
  <si>
    <t>V:1 - J :7</t>
  </si>
  <si>
    <t>V:1-  J :7</t>
  </si>
  <si>
    <t>EAE110A</t>
  </si>
  <si>
    <t>D. FALCK</t>
  </si>
  <si>
    <t>W:6-7</t>
  </si>
  <si>
    <t>EAE120S</t>
  </si>
  <si>
    <t>EAE110S  (SOCIOLOGÍA)</t>
  </si>
  <si>
    <t>FACULTAD DE ECONOMÍA Y ADMINISTRACIÓN</t>
  </si>
  <si>
    <t>CURSOS DE FORMACION GENERAL DICTADOS POR LA FACULTAD</t>
  </si>
  <si>
    <t>Área de Formación General</t>
  </si>
  <si>
    <t>EAG170A</t>
  </si>
  <si>
    <t>RESOLUCIÓN CREATIVA DE PROBLEMAS</t>
  </si>
  <si>
    <t>M. SABBAGH</t>
  </si>
  <si>
    <t>CIENCIAS SOCIALES</t>
  </si>
  <si>
    <t>EAG190A</t>
  </si>
  <si>
    <t>EXPLORANDO EL MUNDO DEL TRABAJO PARA LA TOMA DE DECISIONES PROFESIONALES</t>
  </si>
  <si>
    <t>K. LUND</t>
  </si>
  <si>
    <t>EAG165E</t>
  </si>
  <si>
    <t>POLÍTICAS PÚBLICAS: DERRIBANDO MITOS DE LA POBREZA</t>
  </si>
  <si>
    <t>G. UGARTE / F. BASTIDAS</t>
  </si>
  <si>
    <t>CURSOS DICTADOS POR OTRAS FACULTADES</t>
  </si>
  <si>
    <t>PONTIFICIA UNIVERSIDAD CATOLICA DE CHILE</t>
  </si>
  <si>
    <t>ESCUELA DE ADMINISTRACION</t>
  </si>
  <si>
    <t>PROGRAMACIÓN DE CURSOS SEGUNDO DEL 2006</t>
  </si>
  <si>
    <t>UA07</t>
  </si>
  <si>
    <t>INTERC.</t>
  </si>
  <si>
    <t>Juan Edo.</t>
  </si>
  <si>
    <t>Sala</t>
  </si>
  <si>
    <t>Nº alumnos/Sala</t>
  </si>
  <si>
    <t>UA01</t>
  </si>
  <si>
    <t>UA10</t>
  </si>
  <si>
    <t>PROGRAMACIÓN DE CURSOS SEGUNDO SEMESTRE DEL 2006</t>
  </si>
  <si>
    <t>VACANTES</t>
  </si>
  <si>
    <t>RUT</t>
  </si>
  <si>
    <t>Hor.</t>
  </si>
  <si>
    <t>INTERCAMBIO</t>
  </si>
  <si>
    <t>5593247-6</t>
  </si>
  <si>
    <t>6062116-0</t>
  </si>
  <si>
    <t>N.N</t>
  </si>
  <si>
    <t>8122891-4</t>
  </si>
  <si>
    <t>7274560-4</t>
  </si>
  <si>
    <t>15379452-9</t>
  </si>
  <si>
    <t>15312093-5</t>
  </si>
  <si>
    <t>10034247-2</t>
  </si>
  <si>
    <t>9580246-K</t>
  </si>
  <si>
    <t>8530082-2</t>
  </si>
  <si>
    <t>9681304-K</t>
  </si>
  <si>
    <t>9669736-8</t>
  </si>
  <si>
    <t>13702582-5</t>
  </si>
  <si>
    <t>3639231-2</t>
  </si>
  <si>
    <t>13039736-0</t>
  </si>
  <si>
    <t>17947504-9</t>
  </si>
  <si>
    <t>5573978-1</t>
  </si>
  <si>
    <t>2285027-K</t>
  </si>
  <si>
    <t>7006273-9</t>
  </si>
  <si>
    <t>9156819-5</t>
  </si>
  <si>
    <t>10107406-4</t>
  </si>
  <si>
    <t>5486416-7</t>
  </si>
  <si>
    <t>6443418-7</t>
  </si>
  <si>
    <t>8542877-2</t>
  </si>
  <si>
    <t>CURSOS OPTATIVOS LICENCIATURA</t>
  </si>
  <si>
    <t>10193202-8</t>
  </si>
  <si>
    <t>5469598-5</t>
  </si>
  <si>
    <t>9757642-4</t>
  </si>
  <si>
    <t>7016179-6</t>
  </si>
  <si>
    <t>8882155-6</t>
  </si>
  <si>
    <t>5668399-2</t>
  </si>
  <si>
    <t>10524744-3</t>
  </si>
  <si>
    <t>9572426-4</t>
  </si>
  <si>
    <t>CURSOS MINIMOS INGENIERIA COMERCIAL</t>
  </si>
  <si>
    <t>Créd.</t>
  </si>
  <si>
    <t>Nombre del Curso</t>
  </si>
  <si>
    <t>Prof.</t>
  </si>
  <si>
    <t>9719183-2</t>
  </si>
  <si>
    <t>8860493-8</t>
  </si>
  <si>
    <t>9128578-9</t>
  </si>
  <si>
    <t>8956105-1</t>
  </si>
  <si>
    <t>7129878-7</t>
  </si>
  <si>
    <t>12721018-7</t>
  </si>
  <si>
    <t>7044604-9</t>
  </si>
  <si>
    <t>CURSOS OPTATIVOS INGENIERIA COMERCIAL</t>
  </si>
  <si>
    <t>8361980-5</t>
  </si>
  <si>
    <t>7081424-2</t>
  </si>
  <si>
    <t>9977192-5</t>
  </si>
  <si>
    <t>6910146-1</t>
  </si>
  <si>
    <t>6693685-6</t>
  </si>
  <si>
    <t>10622139-1</t>
  </si>
  <si>
    <t>6948688-6</t>
  </si>
  <si>
    <t>CURSOS DE SERVICIO</t>
  </si>
  <si>
    <t>NN</t>
  </si>
  <si>
    <t>CCL2264</t>
  </si>
  <si>
    <t>CCL2265</t>
  </si>
  <si>
    <t>INSTITUTO DE ECONOMIA</t>
  </si>
  <si>
    <t>PROGRAMACIÓN DE CURSOS PRIMER SEMESTRE DEL 2006</t>
  </si>
  <si>
    <t>8609956-K</t>
  </si>
  <si>
    <t>2929447-K</t>
  </si>
  <si>
    <t>6379928-9</t>
  </si>
  <si>
    <t>7107215-0</t>
  </si>
  <si>
    <t>13550375-4</t>
  </si>
  <si>
    <t>21619704-6</t>
  </si>
  <si>
    <t>8662300-5</t>
  </si>
  <si>
    <t>6344937-7</t>
  </si>
  <si>
    <t>21897198-9</t>
  </si>
  <si>
    <t>12645487-2</t>
  </si>
  <si>
    <t>3682673-8</t>
  </si>
  <si>
    <t>12454621-4</t>
  </si>
  <si>
    <t>12456030-6</t>
  </si>
  <si>
    <t>7040498-2</t>
  </si>
  <si>
    <t>10994047-K</t>
  </si>
  <si>
    <t>7012075-5</t>
  </si>
  <si>
    <t>6598134-3</t>
  </si>
  <si>
    <t>10656879-0</t>
  </si>
  <si>
    <t>9831030-9</t>
  </si>
  <si>
    <t>4563534-1</t>
  </si>
  <si>
    <t>6370485-7</t>
  </si>
  <si>
    <t>14586824-6</t>
  </si>
  <si>
    <t>13316524-K</t>
  </si>
  <si>
    <t>13036159-5</t>
  </si>
  <si>
    <t>3830719-3</t>
  </si>
  <si>
    <t>4660990-5</t>
  </si>
  <si>
    <t>4871720-9</t>
  </si>
  <si>
    <t>3034737-4</t>
  </si>
  <si>
    <t>CURSOS NIVEL 300 (MINIMOS Y OPTATIVOS) MAGISTER / INGENIERIA COMERCIAL</t>
  </si>
  <si>
    <t>7174967-3</t>
  </si>
  <si>
    <t>7157836-4</t>
  </si>
  <si>
    <t>10654278-3</t>
  </si>
  <si>
    <t xml:space="preserve"> 12692441-0/10046037-8</t>
  </si>
  <si>
    <t>7024063-7</t>
  </si>
  <si>
    <t>14458950-5</t>
  </si>
  <si>
    <t>7833788-5</t>
  </si>
  <si>
    <t>14641409-5</t>
  </si>
  <si>
    <t>7980977-2</t>
  </si>
  <si>
    <t>8234911-1</t>
  </si>
  <si>
    <t>10046037-8</t>
  </si>
  <si>
    <t>6376300-4</t>
  </si>
  <si>
    <t>10155142-3</t>
  </si>
  <si>
    <t>ADMISION UA11</t>
  </si>
  <si>
    <t>14719362-9</t>
  </si>
  <si>
    <t>21394878-4</t>
  </si>
  <si>
    <t>ADMISION UA07</t>
  </si>
  <si>
    <t>9981553-1</t>
  </si>
  <si>
    <t>13920939-7</t>
  </si>
  <si>
    <t>10609361-K</t>
  </si>
  <si>
    <t>10634920-7</t>
  </si>
  <si>
    <t>C.CENTRAL</t>
  </si>
  <si>
    <t>13457328-7</t>
  </si>
  <si>
    <t>ADMISION UA01</t>
  </si>
  <si>
    <t>10951599-K</t>
  </si>
  <si>
    <t xml:space="preserve">ADMISION UA59 </t>
  </si>
  <si>
    <t>12169980-K</t>
  </si>
  <si>
    <t>EAE105A/ADSMISON UA91</t>
  </si>
  <si>
    <t>10634919-3</t>
  </si>
  <si>
    <t>EAE105A/ADSMISON UA30</t>
  </si>
  <si>
    <t>EAE105A/ADSMISON UA17</t>
  </si>
  <si>
    <t>FACULTAD DE CIENCIAS ECONOMICAS Y ADMINISTRATIVAS</t>
  </si>
  <si>
    <t>AREA ETICA O ANTROPOLOGIA FILOSOFICA</t>
  </si>
  <si>
    <t>5401506-2</t>
  </si>
  <si>
    <t>4818388-3</t>
  </si>
  <si>
    <t>CURSOS NIVEL 3000 (MINIMOS Y OPTATIVOS) MAGISTER EN ECONOMÍA APLICADA / OPTATIVOS MENCIÓN ECONOMÍA</t>
  </si>
  <si>
    <t>CURSOS NIVEL 3000 MÍNIMOS INGENIERÍA COMERCIAL / MENCIÓN ECONOMÍA INGRESOS 2020 Y POSTERIOR</t>
  </si>
  <si>
    <t>CURSOS NIVEL 3000 MINIMOS INGENIERIA COMERCIAL / MENCION ECONOMIA INGRESO ANTERIOR AL 2020</t>
  </si>
  <si>
    <t>CURSOS NIVEL 2000 OPTATIVOS LICENCIATURA</t>
  </si>
  <si>
    <t>CURSOS NIVEL 3000  OPTATIVOS INGENIERÍA COMERCIAL / MENCIÓN ADMINISTRACIÓN</t>
  </si>
  <si>
    <t>CURSOS NIVEL 3000 MÍNIMOS INGENIERÍA COMERCIAL / MENCIÓN ADMINISTRACIÓN</t>
  </si>
  <si>
    <t>A. SANTELICES/ N. HERERRA</t>
  </si>
  <si>
    <t>C. CIFUENTES</t>
  </si>
  <si>
    <t>A. CABRERA</t>
  </si>
  <si>
    <t>EAE250A o EAE2510 o EAE3101 o EAE3102 o EAE350B</t>
  </si>
  <si>
    <t>EAE3151 o EAE2120 o Nivel Magíster</t>
  </si>
  <si>
    <t>(EAE2120 o EAE3151) y (EAE3101(c) o EAE3102(c)) o Mag. Economía Aplicada</t>
  </si>
  <si>
    <t>(EAE310B(c))</t>
  </si>
  <si>
    <t>EAE310B y EAE350B o  (Nivel=Magister)</t>
  </si>
  <si>
    <t>Adm Mag.Economía</t>
  </si>
  <si>
    <t>(EAE5000(c))</t>
  </si>
  <si>
    <t>EAE5000 y EAE5200</t>
  </si>
  <si>
    <t>EAE5000 y EAE5100 y EAE5200 y EAE5300 y EAE5001 y EAE5101 y (EAE5201 o EAE5202)</t>
  </si>
  <si>
    <t>EAE5405 y EAE5406 Y ADM. DOC</t>
  </si>
  <si>
    <t>EAE5501 Y ADM. DOC</t>
  </si>
  <si>
    <t>EAE5502 Y ADM. DOC</t>
  </si>
  <si>
    <t>EAE5503 Y ADM. DOC</t>
  </si>
  <si>
    <t>25/marzo: 17:30 - 19:30 horas</t>
  </si>
  <si>
    <t>26/marzo: 17:30 - 19:30 horas</t>
  </si>
  <si>
    <t>(EAE3102(c) o EAE350B(c)) y (EAE2220 o EAE221B o EAE3210 o EAE240)</t>
  </si>
  <si>
    <t>L. CARVAJAL</t>
  </si>
  <si>
    <t>A. ORELLANA</t>
  </si>
  <si>
    <t>EAG160E</t>
  </si>
  <si>
    <t>¿CÓMO TOMAMOS DECISIONES?</t>
  </si>
  <si>
    <r>
      <t xml:space="preserve">POLITICAS PUBLICAS PARA EL DESARROLLO </t>
    </r>
    <r>
      <rPr>
        <b/>
        <vertAlign val="superscript"/>
        <sz val="11"/>
        <color rgb="FF0070C0"/>
        <rFont val="Arial Narrow"/>
        <family val="2"/>
      </rPr>
      <t xml:space="preserve">1, </t>
    </r>
    <r>
      <rPr>
        <b/>
        <vertAlign val="superscript"/>
        <sz val="11"/>
        <color rgb="FF00B050"/>
        <rFont val="Arial Narrow"/>
        <family val="2"/>
      </rPr>
      <t>2</t>
    </r>
    <r>
      <rPr>
        <b/>
        <vertAlign val="superscript"/>
        <sz val="11"/>
        <color rgb="FF0070C0"/>
        <rFont val="Arial Narrow"/>
        <family val="2"/>
      </rPr>
      <t>,</t>
    </r>
    <r>
      <rPr>
        <b/>
        <vertAlign val="superscript"/>
        <sz val="11"/>
        <color rgb="FFFF0000"/>
        <rFont val="Arial Narrow"/>
        <family val="2"/>
      </rPr>
      <t xml:space="preserve"> 4</t>
    </r>
  </si>
  <si>
    <r>
      <t xml:space="preserve">ECONOMÍA DEL COMPORTAMIENTO </t>
    </r>
    <r>
      <rPr>
        <vertAlign val="superscript"/>
        <sz val="11"/>
        <color rgb="FF0070C0"/>
        <rFont val="Arial Narrow"/>
        <family val="2"/>
      </rPr>
      <t>1</t>
    </r>
    <r>
      <rPr>
        <vertAlign val="superscript"/>
        <sz val="11"/>
        <color theme="1"/>
        <rFont val="Arial Narrow"/>
        <family val="2"/>
      </rPr>
      <t xml:space="preserve">, </t>
    </r>
    <r>
      <rPr>
        <vertAlign val="superscript"/>
        <sz val="11"/>
        <color theme="9"/>
        <rFont val="Arial Narrow"/>
        <family val="2"/>
      </rPr>
      <t>3</t>
    </r>
    <r>
      <rPr>
        <vertAlign val="superscript"/>
        <sz val="11"/>
        <color theme="1"/>
        <rFont val="Arial Narrow"/>
        <family val="2"/>
      </rPr>
      <t>,</t>
    </r>
    <r>
      <rPr>
        <vertAlign val="superscript"/>
        <sz val="11"/>
        <color rgb="FF7030A0"/>
        <rFont val="Arial Narrow"/>
        <family val="2"/>
      </rPr>
      <t xml:space="preserve"> 5</t>
    </r>
  </si>
  <si>
    <r>
      <t xml:space="preserve">EXPERIENCIAS ECONÓMICAS COMPARADAS </t>
    </r>
    <r>
      <rPr>
        <vertAlign val="superscript"/>
        <sz val="11"/>
        <color rgb="FF0070C0"/>
        <rFont val="Arial Narrow"/>
        <family val="2"/>
      </rPr>
      <t>1,</t>
    </r>
    <r>
      <rPr>
        <vertAlign val="superscript"/>
        <sz val="11"/>
        <color rgb="FF00B050"/>
        <rFont val="Arial Narrow"/>
        <family val="2"/>
      </rPr>
      <t xml:space="preserve"> 2</t>
    </r>
    <r>
      <rPr>
        <vertAlign val="superscript"/>
        <sz val="9"/>
        <color theme="1"/>
        <rFont val="Arial Narrow"/>
        <family val="2"/>
      </rPr>
      <t>,</t>
    </r>
    <r>
      <rPr>
        <vertAlign val="superscript"/>
        <sz val="11"/>
        <color rgb="FF7030A0"/>
        <rFont val="Arial Narrow"/>
        <family val="2"/>
      </rPr>
      <t xml:space="preserve"> 5</t>
    </r>
  </si>
  <si>
    <t>L:6 - L:3</t>
  </si>
  <si>
    <t>29/abr:7 y 29/may:7</t>
  </si>
  <si>
    <t>13/abr:7 y  26/may:7</t>
  </si>
  <si>
    <t>14/abr:7 y  1/jun:7</t>
  </si>
  <si>
    <t>10/abr:7 y 15/may:7</t>
  </si>
  <si>
    <t>17/abr:7 y 29/may:7</t>
  </si>
  <si>
    <t>30/abr:7 y 11/jun:7</t>
  </si>
  <si>
    <t>23/abr:7 y 10/jun:7</t>
  </si>
  <si>
    <t>27/abr:7 y 5/jun:7</t>
  </si>
  <si>
    <t>14abr:7 y 28/may:7</t>
  </si>
  <si>
    <t>28/abr:7 y 4/jun:7</t>
  </si>
  <si>
    <t>22/abr:7 y 9/jun:7</t>
  </si>
  <si>
    <t>20/abr:7 y 9/jun:7</t>
  </si>
  <si>
    <t>20/abr:7 y 8/jun:7</t>
  </si>
  <si>
    <t>17/abr:7 y 3/jun:7</t>
  </si>
  <si>
    <t xml:space="preserve"> 6/may:3 </t>
  </si>
  <si>
    <r>
      <t>MERCADO LABORAL, PARTICIPACIÓN Y EQUIDAD</t>
    </r>
    <r>
      <rPr>
        <sz val="9"/>
        <color rgb="FF0070C0"/>
        <rFont val="Arial Narrow"/>
        <family val="2"/>
      </rPr>
      <t xml:space="preserve"> </t>
    </r>
    <r>
      <rPr>
        <vertAlign val="superscript"/>
        <sz val="11"/>
        <color rgb="FF0070C0"/>
        <rFont val="Arial Narrow"/>
        <family val="2"/>
      </rPr>
      <t>1</t>
    </r>
    <r>
      <rPr>
        <vertAlign val="superscript"/>
        <sz val="11"/>
        <rFont val="Arial Narrow"/>
        <family val="2"/>
      </rPr>
      <t xml:space="preserve">, </t>
    </r>
    <r>
      <rPr>
        <vertAlign val="superscript"/>
        <sz val="11"/>
        <color rgb="FFFF0000"/>
        <rFont val="Arial Narrow"/>
        <family val="2"/>
      </rPr>
      <t>4</t>
    </r>
  </si>
  <si>
    <t>21/abr:5 y 28/may:5</t>
  </si>
  <si>
    <t>1/abr:2 y 13/may:2</t>
  </si>
  <si>
    <t>8/abr:5 y 27/may:5</t>
  </si>
  <si>
    <t>5/may:6 y 16/jun:6</t>
  </si>
  <si>
    <t>15/abr:6 y 3/jun:6</t>
  </si>
  <si>
    <t>9/abr: 1 y 28/may:1</t>
  </si>
  <si>
    <t>29/abr:4</t>
  </si>
  <si>
    <t>7/may:6-7</t>
  </si>
  <si>
    <t>15/abr:3 y 15/jun:3</t>
  </si>
  <si>
    <t>8/abr:7 y 2/jun:7</t>
  </si>
  <si>
    <t>16/abr: 3 y 4/jun:3</t>
  </si>
  <si>
    <t>20/abr:5-6 y 8/jun:5-6</t>
  </si>
  <si>
    <t>4/may:4</t>
  </si>
  <si>
    <t>29/abr:2</t>
  </si>
  <si>
    <t>16/abr:5</t>
  </si>
  <si>
    <t>16/abr:3 y 16/jun:3</t>
  </si>
  <si>
    <t>12/may:5-6</t>
  </si>
  <si>
    <t>8:20 - 10:50</t>
  </si>
  <si>
    <t>13/abr:5-6  y  11/may:5-6</t>
  </si>
  <si>
    <t>26/may:5</t>
  </si>
  <si>
    <t>21/abr:3-4 y 9/jun:3-4</t>
  </si>
  <si>
    <t>14/may:2</t>
  </si>
  <si>
    <t>20/abr: 4 y 8/jun:4</t>
  </si>
  <si>
    <t>7/may:4</t>
  </si>
  <si>
    <t>9/abr:1 y 12/may:1</t>
  </si>
  <si>
    <t>15/may:3</t>
  </si>
  <si>
    <t>9:40 - 10:50</t>
  </si>
  <si>
    <t>12:20 - 14:20</t>
  </si>
  <si>
    <t>17/abr:7 y 03/jun:7</t>
  </si>
  <si>
    <t>13/may:7</t>
  </si>
  <si>
    <t xml:space="preserve">12/mar:7r y 20/abr:7 </t>
  </si>
  <si>
    <t xml:space="preserve">23/abr:7 </t>
  </si>
  <si>
    <t>15/abr:7 y 9/jun:7</t>
  </si>
  <si>
    <t>17/abr:2</t>
  </si>
  <si>
    <t>17:30 - 19_30</t>
  </si>
  <si>
    <t>9/abr:6 y 14/may:6</t>
  </si>
  <si>
    <t>15/abr:7 y 09/jun:7</t>
  </si>
  <si>
    <t>23/abr:7</t>
  </si>
  <si>
    <t>28/abr:7 y 26/may:7</t>
  </si>
  <si>
    <t>22/abr:7</t>
  </si>
  <si>
    <t>30/abr:7</t>
  </si>
  <si>
    <t>14/abr:7 y 26/may:7</t>
  </si>
  <si>
    <t>22/abr:7 y 10/jun:7</t>
  </si>
  <si>
    <t>24/abr:1</t>
  </si>
  <si>
    <t xml:space="preserve"> 24/abr:1 y 05/jun:1</t>
  </si>
  <si>
    <t>9/abr:8 y 28/may:8</t>
  </si>
  <si>
    <t>22/abr:2 y 27/may:2</t>
  </si>
  <si>
    <t>30/abr:3</t>
  </si>
  <si>
    <t>17/abr:3 y 29/may:3</t>
  </si>
  <si>
    <t>15/abr:4 y 03/jun:4</t>
  </si>
  <si>
    <t>17/abr:6 y 29/may:6</t>
  </si>
  <si>
    <t>23/abr:6 y 4/jun:6</t>
  </si>
  <si>
    <t>PRUEBA RECUPERATIVA</t>
  </si>
  <si>
    <t>Prueba Recuperativa</t>
  </si>
  <si>
    <t>22/abr:5-6 y 03/jun:5-6</t>
  </si>
  <si>
    <t>08/abr:1 y 27/may:1</t>
  </si>
  <si>
    <t>26/mar:7-8 - 23/abr: 7-8 y 15/may:7-8</t>
  </si>
  <si>
    <t>28/abr:2</t>
  </si>
  <si>
    <t>8/abr:5; 13/abr:5  y 1/jun:5</t>
  </si>
  <si>
    <t>24/abr:2</t>
  </si>
  <si>
    <t>* Curso optativo de mención Economía, solo para generación 2020 y posteriores</t>
  </si>
  <si>
    <t>26.may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</si>
</sst>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>
    <font>
      <sz val="10"/>
      <color rgb="FF000000"/>
      <name val="Arial"/>
    </font>
    <font>
      <b/>
      <u/>
      <sz val="14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  <font>
      <b/>
      <u/>
      <sz val="10"/>
      <color theme="1"/>
      <name val="Arial Narrow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BFBFBF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rgb="FFFF0000"/>
      <name val="Arial Narrow"/>
      <family val="2"/>
    </font>
    <font>
      <b/>
      <u/>
      <sz val="12"/>
      <color theme="1"/>
      <name val="Arial Narrow"/>
      <family val="2"/>
    </font>
    <font>
      <sz val="10"/>
      <name val="Arial"/>
      <family val="2"/>
    </font>
    <font>
      <sz val="8"/>
      <color rgb="FFFF0000"/>
      <name val="Arial Narrow"/>
      <family val="2"/>
    </font>
    <font>
      <sz val="8"/>
      <color rgb="FF000000"/>
      <name val="Arial Narrow"/>
      <family val="2"/>
    </font>
    <font>
      <sz val="9"/>
      <color rgb="FF000000"/>
      <name val="Arial Narrow"/>
      <family val="2"/>
    </font>
    <font>
      <sz val="8"/>
      <color rgb="FF00FF00"/>
      <name val="Arial Narrow"/>
      <family val="2"/>
    </font>
    <font>
      <sz val="10"/>
      <color rgb="FF00FF00"/>
      <name val="Calibri"/>
      <family val="2"/>
    </font>
    <font>
      <b/>
      <sz val="9"/>
      <color rgb="FF0066CC"/>
      <name val="Arial Narrow"/>
      <family val="2"/>
    </font>
    <font>
      <sz val="8"/>
      <color rgb="FF0066CC"/>
      <name val="Arial Narrow"/>
      <family val="2"/>
    </font>
    <font>
      <b/>
      <sz val="8"/>
      <color rgb="FF0066CC"/>
      <name val="Arial Narrow"/>
      <family val="2"/>
    </font>
    <font>
      <u/>
      <sz val="10"/>
      <color rgb="FF222222"/>
      <name val="Arial"/>
      <family val="2"/>
    </font>
    <font>
      <b/>
      <sz val="10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FFFF"/>
      <name val="Arial Narrow"/>
      <family val="2"/>
    </font>
    <font>
      <sz val="10"/>
      <color rgb="FF000000"/>
      <name val="Arial"/>
      <family val="2"/>
    </font>
    <font>
      <sz val="9"/>
      <name val="Arial Narrow"/>
      <family val="2"/>
    </font>
    <font>
      <sz val="12"/>
      <color theme="1"/>
      <name val="Calibri"/>
      <family val="2"/>
      <scheme val="minor"/>
    </font>
    <font>
      <sz val="8"/>
      <name val="Arial Narrow"/>
      <family val="2"/>
    </font>
    <font>
      <vertAlign val="superscript"/>
      <sz val="10"/>
      <color rgb="FF0070C0"/>
      <name val="Arial Narrow"/>
      <family val="2"/>
    </font>
    <font>
      <sz val="10"/>
      <color rgb="FF0070C0"/>
      <name val="Arial Narrow"/>
      <family val="2"/>
    </font>
    <font>
      <sz val="9"/>
      <color theme="1"/>
      <name val="&quot;Arial Narrow&quot;"/>
    </font>
    <font>
      <sz val="11"/>
      <color rgb="FF000000"/>
      <name val="Calibri"/>
      <family val="2"/>
    </font>
    <font>
      <sz val="8"/>
      <color rgb="FF000000"/>
      <name val="Helvetica"/>
      <charset val="1"/>
    </font>
    <font>
      <sz val="10"/>
      <name val="Arial Narrow"/>
      <family val="2"/>
    </font>
    <font>
      <b/>
      <sz val="9"/>
      <color theme="9"/>
      <name val="Arial Narrow"/>
      <family val="2"/>
    </font>
    <font>
      <b/>
      <sz val="9"/>
      <color rgb="FF00B050"/>
      <name val="Arial Narrow"/>
      <family val="2"/>
    </font>
    <font>
      <b/>
      <sz val="9"/>
      <color rgb="FF0070C0"/>
      <name val="Arial Narrow"/>
      <family val="2"/>
    </font>
    <font>
      <sz val="10"/>
      <color rgb="FF000000"/>
      <name val="Arial Narrow"/>
      <family val="2"/>
    </font>
    <font>
      <sz val="10"/>
      <color rgb="FF00B050"/>
      <name val="Arial Narrow"/>
      <family val="2"/>
    </font>
    <font>
      <vertAlign val="superscript"/>
      <sz val="10"/>
      <color rgb="FF00B050"/>
      <name val="Arial Narrow"/>
      <family val="2"/>
    </font>
    <font>
      <sz val="10"/>
      <color theme="9" tint="-0.249977111117893"/>
      <name val="Arial Narrow"/>
      <family val="2"/>
    </font>
    <font>
      <vertAlign val="superscript"/>
      <sz val="10"/>
      <color theme="9" tint="-0.249977111117893"/>
      <name val="Arial Narrow"/>
      <family val="2"/>
    </font>
    <font>
      <vertAlign val="superscript"/>
      <sz val="10"/>
      <color rgb="FFC00000"/>
      <name val="Arial Narrow"/>
      <family val="2"/>
    </font>
    <font>
      <sz val="10"/>
      <color rgb="FFC00000"/>
      <name val="Arial Narrow"/>
      <family val="2"/>
    </font>
    <font>
      <vertAlign val="superscript"/>
      <sz val="10"/>
      <color rgb="FF7030A0"/>
      <name val="Arial Narrow"/>
      <family val="2"/>
    </font>
    <font>
      <sz val="10"/>
      <color rgb="FF7030A0"/>
      <name val="Arial Narrow"/>
      <family val="2"/>
    </font>
    <font>
      <b/>
      <sz val="9"/>
      <color rgb="FF7030A0"/>
      <name val="Arial Narrow"/>
      <family val="2"/>
    </font>
    <font>
      <sz val="9"/>
      <color theme="9"/>
      <name val="Arial Narrow"/>
      <family val="2"/>
    </font>
    <font>
      <b/>
      <sz val="10"/>
      <color rgb="FF7030A0"/>
      <name val="Arial Narrow"/>
      <family val="2"/>
    </font>
    <font>
      <b/>
      <vertAlign val="superscript"/>
      <sz val="11"/>
      <color theme="9"/>
      <name val="Arial Narrow"/>
      <family val="2"/>
    </font>
    <font>
      <b/>
      <vertAlign val="superscript"/>
      <sz val="11"/>
      <color rgb="FF0070C0"/>
      <name val="Arial Narrow"/>
      <family val="2"/>
    </font>
    <font>
      <b/>
      <vertAlign val="superscript"/>
      <sz val="11"/>
      <color theme="9" tint="-0.249977111117893"/>
      <name val="Arial Narrow"/>
      <family val="2"/>
    </font>
    <font>
      <b/>
      <vertAlign val="superscript"/>
      <sz val="11"/>
      <color rgb="FF7030A0"/>
      <name val="Arial Narrow"/>
      <family val="2"/>
    </font>
    <font>
      <vertAlign val="superscript"/>
      <sz val="11"/>
      <color theme="9"/>
      <name val="Arial Narrow"/>
      <family val="2"/>
    </font>
    <font>
      <vertAlign val="superscript"/>
      <sz val="11"/>
      <color theme="9" tint="-0.249977111117893"/>
      <name val="Arial Narrow"/>
      <family val="2"/>
    </font>
    <font>
      <vertAlign val="superscript"/>
      <sz val="11"/>
      <color rgb="FF0070C0"/>
      <name val="Arial Narrow"/>
      <family val="2"/>
    </font>
    <font>
      <vertAlign val="superscript"/>
      <sz val="11"/>
      <name val="Arial Narrow"/>
      <family val="2"/>
    </font>
    <font>
      <vertAlign val="superscript"/>
      <sz val="11"/>
      <color rgb="FF00B050"/>
      <name val="Arial Narrow"/>
      <family val="2"/>
    </font>
    <font>
      <b/>
      <vertAlign val="superscript"/>
      <sz val="11"/>
      <color rgb="FF00B050"/>
      <name val="Arial Narrow"/>
      <family val="2"/>
    </font>
    <font>
      <vertAlign val="superscript"/>
      <sz val="11"/>
      <color theme="1"/>
      <name val="Arial Narrow"/>
      <family val="2"/>
    </font>
    <font>
      <vertAlign val="superscript"/>
      <sz val="11"/>
      <color rgb="FFC00000"/>
      <name val="Arial Narrow"/>
      <family val="2"/>
    </font>
    <font>
      <vertAlign val="superscript"/>
      <sz val="11"/>
      <color rgb="FF7030A0"/>
      <name val="Arial Narrow"/>
      <family val="2"/>
    </font>
    <font>
      <vertAlign val="superscript"/>
      <sz val="11"/>
      <color rgb="FFFF0000"/>
      <name val="Arial Narrow"/>
      <family val="2"/>
    </font>
    <font>
      <vertAlign val="superscript"/>
      <sz val="11"/>
      <color theme="9"/>
      <name val="Calibri"/>
      <family val="2"/>
    </font>
    <font>
      <sz val="11"/>
      <color theme="9"/>
      <name val="Arial Narrow"/>
      <family val="2"/>
    </font>
    <font>
      <sz val="9"/>
      <color rgb="FF3D3D3D"/>
      <name val="Helvetica"/>
      <charset val="1"/>
    </font>
    <font>
      <b/>
      <vertAlign val="superscript"/>
      <sz val="11"/>
      <color rgb="FFFF0000"/>
      <name val="Arial Narrow"/>
      <family val="2"/>
    </font>
    <font>
      <vertAlign val="superscript"/>
      <sz val="9"/>
      <color theme="1"/>
      <name val="Arial Narrow"/>
      <family val="2"/>
    </font>
    <font>
      <sz val="9"/>
      <color rgb="FF0070C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D9C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31" fillId="0" borderId="8"/>
    <xf numFmtId="0" fontId="29" fillId="0" borderId="8"/>
  </cellStyleXfs>
  <cellXfs count="446">
    <xf numFmtId="0" fontId="0" fillId="0" borderId="0" xfId="0"/>
    <xf numFmtId="0" fontId="8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9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wrapText="1"/>
    </xf>
    <xf numFmtId="0" fontId="12" fillId="0" borderId="0" xfId="0" applyFont="1" applyAlignment="1">
      <alignment horizontal="left"/>
    </xf>
    <xf numFmtId="0" fontId="8" fillId="2" borderId="2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6" fillId="3" borderId="1" xfId="0" applyFont="1" applyFill="1" applyBorder="1"/>
    <xf numFmtId="0" fontId="8" fillId="4" borderId="1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12" fillId="0" borderId="17" xfId="0" applyFont="1" applyBorder="1"/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left"/>
    </xf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8" fillId="0" borderId="18" xfId="0" applyFont="1" applyBorder="1" applyAlignment="1">
      <alignment horizontal="left"/>
    </xf>
    <xf numFmtId="0" fontId="8" fillId="2" borderId="18" xfId="0" applyFont="1" applyFill="1" applyBorder="1"/>
    <xf numFmtId="0" fontId="8" fillId="0" borderId="18" xfId="0" applyFont="1" applyBorder="1"/>
    <xf numFmtId="0" fontId="8" fillId="0" borderId="4" xfId="0" applyFont="1" applyBorder="1" applyAlignment="1">
      <alignment horizontal="center"/>
    </xf>
    <xf numFmtId="0" fontId="29" fillId="0" borderId="0" xfId="0" applyFont="1"/>
    <xf numFmtId="0" fontId="8" fillId="3" borderId="11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8" fillId="2" borderId="8" xfId="0" applyFont="1" applyFill="1" applyBorder="1"/>
    <xf numFmtId="0" fontId="8" fillId="2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9" fillId="2" borderId="8" xfId="0" applyFont="1" applyFill="1" applyBorder="1"/>
    <xf numFmtId="0" fontId="8" fillId="0" borderId="2" xfId="0" applyFont="1" applyBorder="1"/>
    <xf numFmtId="0" fontId="8" fillId="2" borderId="11" xfId="0" applyFont="1" applyFill="1" applyBorder="1" applyAlignment="1">
      <alignment horizontal="center"/>
    </xf>
    <xf numFmtId="0" fontId="8" fillId="0" borderId="11" xfId="0" applyFont="1" applyBorder="1"/>
    <xf numFmtId="0" fontId="8" fillId="2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0" applyFont="1" applyBorder="1"/>
    <xf numFmtId="0" fontId="19" fillId="0" borderId="1" xfId="0" applyFont="1" applyBorder="1"/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9" xfId="0" applyFont="1" applyFill="1" applyBorder="1"/>
    <xf numFmtId="0" fontId="9" fillId="2" borderId="11" xfId="0" applyFont="1" applyFill="1" applyBorder="1"/>
    <xf numFmtId="0" fontId="8" fillId="8" borderId="0" xfId="0" applyFont="1" applyFill="1"/>
    <xf numFmtId="0" fontId="4" fillId="0" borderId="0" xfId="0" applyFont="1"/>
    <xf numFmtId="0" fontId="9" fillId="2" borderId="18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left"/>
    </xf>
    <xf numFmtId="0" fontId="8" fillId="8" borderId="8" xfId="0" applyFont="1" applyFill="1" applyBorder="1"/>
    <xf numFmtId="0" fontId="8" fillId="8" borderId="8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" fontId="11" fillId="8" borderId="8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0" xfId="0" applyFont="1" applyFill="1" applyAlignment="1">
      <alignment horizontal="left"/>
    </xf>
    <xf numFmtId="0" fontId="9" fillId="8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1" fontId="11" fillId="8" borderId="0" xfId="0" applyNumberFormat="1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8" borderId="0" xfId="0" applyFont="1" applyFill="1"/>
    <xf numFmtId="0" fontId="0" fillId="8" borderId="0" xfId="0" applyFill="1"/>
    <xf numFmtId="0" fontId="35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/>
    <xf numFmtId="0" fontId="8" fillId="4" borderId="12" xfId="0" applyFont="1" applyFill="1" applyBorder="1"/>
    <xf numFmtId="0" fontId="19" fillId="0" borderId="0" xfId="0" applyFont="1"/>
    <xf numFmtId="0" fontId="30" fillId="2" borderId="1" xfId="0" applyFont="1" applyFill="1" applyBorder="1"/>
    <xf numFmtId="0" fontId="9" fillId="0" borderId="9" xfId="0" applyFont="1" applyBorder="1" applyAlignment="1">
      <alignment horizontal="center"/>
    </xf>
    <xf numFmtId="0" fontId="10" fillId="2" borderId="8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left"/>
    </xf>
    <xf numFmtId="0" fontId="5" fillId="2" borderId="8" xfId="0" applyFont="1" applyFill="1" applyBorder="1"/>
    <xf numFmtId="0" fontId="13" fillId="2" borderId="8" xfId="0" applyFont="1" applyFill="1" applyBorder="1"/>
    <xf numFmtId="0" fontId="12" fillId="2" borderId="8" xfId="0" applyFont="1" applyFill="1" applyBorder="1"/>
    <xf numFmtId="0" fontId="9" fillId="2" borderId="2" xfId="0" applyFont="1" applyFill="1" applyBorder="1" applyAlignment="1">
      <alignment horizontal="center"/>
    </xf>
    <xf numFmtId="0" fontId="14" fillId="2" borderId="8" xfId="0" applyFont="1" applyFill="1" applyBorder="1"/>
    <xf numFmtId="0" fontId="8" fillId="2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center"/>
    </xf>
    <xf numFmtId="0" fontId="11" fillId="5" borderId="8" xfId="0" applyFont="1" applyFill="1" applyBorder="1"/>
    <xf numFmtId="0" fontId="27" fillId="0" borderId="0" xfId="0" applyFont="1"/>
    <xf numFmtId="0" fontId="11" fillId="6" borderId="8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9" fillId="8" borderId="8" xfId="0" applyFont="1" applyFill="1" applyBorder="1"/>
    <xf numFmtId="0" fontId="9" fillId="8" borderId="8" xfId="0" applyFont="1" applyFill="1" applyBorder="1" applyAlignment="1">
      <alignment horizontal="left"/>
    </xf>
    <xf numFmtId="0" fontId="13" fillId="8" borderId="8" xfId="0" applyFont="1" applyFill="1" applyBorder="1" applyAlignment="1">
      <alignment horizontal="left"/>
    </xf>
    <xf numFmtId="0" fontId="16" fillId="0" borderId="0" xfId="0" applyFont="1"/>
    <xf numFmtId="0" fontId="19" fillId="10" borderId="1" xfId="0" applyFont="1" applyFill="1" applyBorder="1" applyAlignment="1">
      <alignment readingOrder="1"/>
    </xf>
    <xf numFmtId="0" fontId="29" fillId="8" borderId="0" xfId="0" applyFont="1" applyFill="1"/>
    <xf numFmtId="0" fontId="0" fillId="8" borderId="8" xfId="0" applyFill="1" applyBorder="1"/>
    <xf numFmtId="0" fontId="0" fillId="10" borderId="0" xfId="0" applyFill="1"/>
    <xf numFmtId="0" fontId="1" fillId="2" borderId="8" xfId="0" applyFont="1" applyFill="1" applyBorder="1" applyAlignment="1">
      <alignment horizontal="center"/>
    </xf>
    <xf numFmtId="22" fontId="1" fillId="2" borderId="8" xfId="0" applyNumberFormat="1" applyFont="1" applyFill="1" applyBorder="1" applyAlignment="1">
      <alignment horizontal="center"/>
    </xf>
    <xf numFmtId="0" fontId="17" fillId="8" borderId="0" xfId="0" applyFont="1" applyFill="1"/>
    <xf numFmtId="0" fontId="8" fillId="11" borderId="8" xfId="0" applyFont="1" applyFill="1" applyBorder="1"/>
    <xf numFmtId="0" fontId="32" fillId="8" borderId="0" xfId="0" applyFont="1" applyFill="1"/>
    <xf numFmtId="0" fontId="16" fillId="8" borderId="0" xfId="0" applyFont="1" applyFill="1"/>
    <xf numFmtId="0" fontId="18" fillId="8" borderId="0" xfId="0" applyFont="1" applyFill="1"/>
    <xf numFmtId="0" fontId="19" fillId="8" borderId="0" xfId="0" applyFont="1" applyFill="1"/>
    <xf numFmtId="0" fontId="23" fillId="8" borderId="0" xfId="0" applyFont="1" applyFill="1"/>
    <xf numFmtId="0" fontId="20" fillId="8" borderId="0" xfId="0" applyFont="1" applyFill="1"/>
    <xf numFmtId="0" fontId="21" fillId="8" borderId="0" xfId="0" applyFont="1" applyFill="1"/>
    <xf numFmtId="0" fontId="6" fillId="8" borderId="0" xfId="0" applyFont="1" applyFill="1"/>
    <xf numFmtId="0" fontId="1" fillId="2" borderId="8" xfId="0" applyFont="1" applyFill="1" applyBorder="1" applyAlignment="1">
      <alignment horizontal="right"/>
    </xf>
    <xf numFmtId="0" fontId="9" fillId="8" borderId="0" xfId="0" applyFont="1" applyFill="1" applyAlignment="1">
      <alignment horizontal="left"/>
    </xf>
    <xf numFmtId="22" fontId="1" fillId="2" borderId="8" xfId="0" applyNumberFormat="1" applyFont="1" applyFill="1" applyBorder="1"/>
    <xf numFmtId="0" fontId="15" fillId="2" borderId="8" xfId="0" applyFont="1" applyFill="1" applyBorder="1" applyAlignment="1">
      <alignment horizontal="left"/>
    </xf>
    <xf numFmtId="0" fontId="36" fillId="8" borderId="0" xfId="0" applyFont="1" applyFill="1" applyAlignment="1">
      <alignment vertical="center"/>
    </xf>
    <xf numFmtId="0" fontId="15" fillId="2" borderId="8" xfId="0" applyFont="1" applyFill="1" applyBorder="1"/>
    <xf numFmtId="0" fontId="8" fillId="0" borderId="15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9" fillId="0" borderId="18" xfId="0" applyFont="1" applyBorder="1" applyAlignment="1">
      <alignment horizontal="center"/>
    </xf>
    <xf numFmtId="0" fontId="8" fillId="0" borderId="20" xfId="0" applyFont="1" applyBorder="1" applyAlignment="1">
      <alignment horizontal="left"/>
    </xf>
    <xf numFmtId="0" fontId="8" fillId="2" borderId="20" xfId="0" applyFont="1" applyFill="1" applyBorder="1" applyAlignment="1">
      <alignment horizontal="left" wrapText="1"/>
    </xf>
    <xf numFmtId="0" fontId="8" fillId="2" borderId="18" xfId="0" applyFont="1" applyFill="1" applyBorder="1" applyAlignment="1">
      <alignment horizontal="left" wrapText="1"/>
    </xf>
    <xf numFmtId="0" fontId="2" fillId="8" borderId="0" xfId="0" applyFont="1" applyFill="1"/>
    <xf numFmtId="0" fontId="8" fillId="2" borderId="1" xfId="0" applyFont="1" applyFill="1" applyBorder="1" applyAlignment="1">
      <alignment wrapText="1"/>
    </xf>
    <xf numFmtId="0" fontId="30" fillId="3" borderId="1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left"/>
    </xf>
    <xf numFmtId="0" fontId="9" fillId="8" borderId="0" xfId="0" applyFont="1" applyFill="1"/>
    <xf numFmtId="0" fontId="8" fillId="3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/>
    </xf>
    <xf numFmtId="0" fontId="8" fillId="7" borderId="18" xfId="0" applyFont="1" applyFill="1" applyBorder="1" applyAlignment="1">
      <alignment horizontal="left" wrapText="1"/>
    </xf>
    <xf numFmtId="0" fontId="9" fillId="2" borderId="18" xfId="0" applyFont="1" applyFill="1" applyBorder="1"/>
    <xf numFmtId="0" fontId="39" fillId="2" borderId="1" xfId="0" applyFont="1" applyFill="1" applyBorder="1"/>
    <xf numFmtId="0" fontId="40" fillId="0" borderId="1" xfId="0" applyFont="1" applyBorder="1"/>
    <xf numFmtId="0" fontId="40" fillId="2" borderId="18" xfId="0" applyFont="1" applyFill="1" applyBorder="1"/>
    <xf numFmtId="0" fontId="8" fillId="0" borderId="20" xfId="0" applyFont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29" fillId="8" borderId="8" xfId="0" applyFont="1" applyFill="1" applyBorder="1"/>
    <xf numFmtId="16" fontId="8" fillId="0" borderId="18" xfId="0" applyNumberFormat="1" applyFont="1" applyBorder="1" applyAlignment="1">
      <alignment horizontal="center"/>
    </xf>
    <xf numFmtId="0" fontId="6" fillId="3" borderId="2" xfId="0" applyFont="1" applyFill="1" applyBorder="1"/>
    <xf numFmtId="0" fontId="30" fillId="0" borderId="18" xfId="0" applyFont="1" applyBorder="1"/>
    <xf numFmtId="0" fontId="9" fillId="2" borderId="14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left" wrapText="1"/>
    </xf>
    <xf numFmtId="0" fontId="8" fillId="8" borderId="28" xfId="0" applyFont="1" applyFill="1" applyBorder="1" applyAlignment="1">
      <alignment horizontal="left" wrapText="1"/>
    </xf>
    <xf numFmtId="0" fontId="8" fillId="0" borderId="20" xfId="0" applyFont="1" applyBorder="1"/>
    <xf numFmtId="0" fontId="30" fillId="2" borderId="3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30" fillId="0" borderId="1" xfId="0" applyFont="1" applyBorder="1" applyAlignment="1">
      <alignment horizontal="left"/>
    </xf>
    <xf numFmtId="0" fontId="8" fillId="0" borderId="21" xfId="0" applyFont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8" borderId="0" xfId="0" applyFont="1" applyFill="1"/>
    <xf numFmtId="0" fontId="9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2" fillId="0" borderId="0" xfId="0" applyFont="1"/>
    <xf numFmtId="0" fontId="19" fillId="0" borderId="20" xfId="0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0" borderId="18" xfId="0" applyFont="1" applyBorder="1" applyAlignment="1">
      <alignment horizontal="left" wrapText="1"/>
    </xf>
    <xf numFmtId="0" fontId="19" fillId="0" borderId="2" xfId="0" applyFont="1" applyBorder="1" applyAlignment="1">
      <alignment horizontal="center"/>
    </xf>
    <xf numFmtId="0" fontId="16" fillId="8" borderId="8" xfId="0" applyFont="1" applyFill="1" applyBorder="1"/>
    <xf numFmtId="0" fontId="9" fillId="0" borderId="18" xfId="0" applyFont="1" applyBorder="1"/>
    <xf numFmtId="0" fontId="9" fillId="2" borderId="13" xfId="0" applyFont="1" applyFill="1" applyBorder="1"/>
    <xf numFmtId="0" fontId="19" fillId="0" borderId="18" xfId="0" applyFont="1" applyBorder="1"/>
    <xf numFmtId="0" fontId="9" fillId="0" borderId="11" xfId="0" applyFont="1" applyBorder="1" applyAlignment="1">
      <alignment horizontal="center"/>
    </xf>
    <xf numFmtId="0" fontId="51" fillId="2" borderId="18" xfId="0" applyFont="1" applyFill="1" applyBorder="1"/>
    <xf numFmtId="0" fontId="9" fillId="0" borderId="18" xfId="0" applyFont="1" applyBorder="1" applyAlignment="1">
      <alignment horizontal="left"/>
    </xf>
    <xf numFmtId="0" fontId="14" fillId="3" borderId="4" xfId="0" applyFont="1" applyFill="1" applyBorder="1" applyAlignment="1">
      <alignment horizontal="center"/>
    </xf>
    <xf numFmtId="0" fontId="19" fillId="8" borderId="18" xfId="0" applyFont="1" applyFill="1" applyBorder="1"/>
    <xf numFmtId="0" fontId="8" fillId="0" borderId="4" xfId="0" applyFont="1" applyBorder="1"/>
    <xf numFmtId="0" fontId="8" fillId="2" borderId="6" xfId="0" applyFont="1" applyFill="1" applyBorder="1" applyAlignment="1">
      <alignment horizontal="left" wrapText="1"/>
    </xf>
    <xf numFmtId="0" fontId="8" fillId="2" borderId="21" xfId="0" applyFont="1" applyFill="1" applyBorder="1"/>
    <xf numFmtId="0" fontId="8" fillId="0" borderId="21" xfId="0" applyFont="1" applyBorder="1"/>
    <xf numFmtId="0" fontId="9" fillId="0" borderId="19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9" fillId="0" borderId="1" xfId="0" applyFont="1" applyBorder="1"/>
    <xf numFmtId="14" fontId="8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30" fillId="0" borderId="18" xfId="0" applyFont="1" applyBorder="1" applyAlignment="1">
      <alignment horizontal="left"/>
    </xf>
    <xf numFmtId="0" fontId="8" fillId="0" borderId="19" xfId="0" applyFont="1" applyBorder="1" applyAlignment="1">
      <alignment horizontal="center"/>
    </xf>
    <xf numFmtId="0" fontId="30" fillId="0" borderId="7" xfId="0" applyFont="1" applyBorder="1" applyAlignment="1">
      <alignment horizontal="left"/>
    </xf>
    <xf numFmtId="0" fontId="2" fillId="0" borderId="18" xfId="0" applyFont="1" applyBorder="1" applyAlignment="1">
      <alignment horizontal="center" wrapText="1"/>
    </xf>
    <xf numFmtId="0" fontId="30" fillId="0" borderId="12" xfId="0" applyFont="1" applyBorder="1"/>
    <xf numFmtId="14" fontId="30" fillId="0" borderId="1" xfId="0" applyNumberFormat="1" applyFont="1" applyBorder="1" applyAlignment="1">
      <alignment horizontal="center"/>
    </xf>
    <xf numFmtId="0" fontId="8" fillId="0" borderId="26" xfId="0" applyFont="1" applyBorder="1" applyAlignment="1">
      <alignment horizontal="left"/>
    </xf>
    <xf numFmtId="0" fontId="8" fillId="0" borderId="23" xfId="0" applyFont="1" applyBorder="1" applyAlignment="1">
      <alignment horizontal="center" wrapText="1"/>
    </xf>
    <xf numFmtId="0" fontId="30" fillId="0" borderId="28" xfId="0" applyFont="1" applyBorder="1" applyAlignment="1">
      <alignment horizontal="left"/>
    </xf>
    <xf numFmtId="0" fontId="8" fillId="0" borderId="22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14" fontId="8" fillId="0" borderId="19" xfId="0" applyNumberFormat="1" applyFont="1" applyBorder="1" applyAlignment="1">
      <alignment horizontal="center"/>
    </xf>
    <xf numFmtId="0" fontId="30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/>
    </xf>
    <xf numFmtId="0" fontId="30" fillId="0" borderId="9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4" xfId="0" applyFont="1" applyFill="1" applyBorder="1" applyAlignment="1">
      <alignment horizontal="left" wrapText="1"/>
    </xf>
    <xf numFmtId="0" fontId="13" fillId="2" borderId="0" xfId="0" applyFont="1" applyFill="1" applyAlignment="1">
      <alignment horizontal="left"/>
    </xf>
    <xf numFmtId="0" fontId="37" fillId="0" borderId="18" xfId="0" applyFont="1" applyBorder="1" applyAlignment="1">
      <alignment horizontal="left" wrapText="1"/>
    </xf>
    <xf numFmtId="0" fontId="38" fillId="0" borderId="18" xfId="0" applyFont="1" applyBorder="1"/>
    <xf numFmtId="0" fontId="42" fillId="8" borderId="0" xfId="0" applyFont="1" applyFill="1"/>
    <xf numFmtId="0" fontId="70" fillId="10" borderId="32" xfId="0" applyFont="1" applyFill="1" applyBorder="1" applyAlignment="1">
      <alignment wrapText="1"/>
    </xf>
    <xf numFmtId="0" fontId="9" fillId="2" borderId="33" xfId="0" applyFont="1" applyFill="1" applyBorder="1" applyAlignment="1">
      <alignment horizontal="left"/>
    </xf>
    <xf numFmtId="0" fontId="8" fillId="3" borderId="19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8" borderId="18" xfId="0" applyFont="1" applyFill="1" applyBorder="1" applyAlignment="1">
      <alignment horizontal="center"/>
    </xf>
    <xf numFmtId="0" fontId="30" fillId="0" borderId="3" xfId="0" applyFont="1" applyBorder="1" applyAlignment="1">
      <alignment horizontal="left" wrapText="1"/>
    </xf>
    <xf numFmtId="0" fontId="8" fillId="0" borderId="27" xfId="0" applyFont="1" applyBorder="1" applyAlignment="1">
      <alignment horizontal="left" wrapText="1"/>
    </xf>
    <xf numFmtId="0" fontId="9" fillId="8" borderId="2" xfId="0" applyFont="1" applyFill="1" applyBorder="1" applyAlignment="1">
      <alignment horizontal="left"/>
    </xf>
    <xf numFmtId="0" fontId="16" fillId="0" borderId="8" xfId="0" applyFont="1" applyBorder="1"/>
    <xf numFmtId="0" fontId="9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6" fontId="8" fillId="2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2" borderId="0" xfId="0" applyFont="1" applyFill="1" applyAlignment="1">
      <alignment horizontal="left" wrapText="1"/>
    </xf>
    <xf numFmtId="0" fontId="22" fillId="2" borderId="0" xfId="0" applyFont="1" applyFill="1" applyAlignment="1">
      <alignment horizontal="center"/>
    </xf>
    <xf numFmtId="0" fontId="34" fillId="2" borderId="0" xfId="0" applyFont="1" applyFill="1"/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14" fillId="9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2" fillId="2" borderId="0" xfId="0" applyFont="1" applyFill="1"/>
    <xf numFmtId="0" fontId="9" fillId="8" borderId="0" xfId="0" applyFont="1" applyFill="1" applyAlignment="1">
      <alignment horizontal="center" wrapText="1"/>
    </xf>
    <xf numFmtId="0" fontId="13" fillId="2" borderId="0" xfId="0" applyFont="1" applyFill="1"/>
    <xf numFmtId="0" fontId="14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25" fillId="4" borderId="0" xfId="0" applyFont="1" applyFill="1"/>
    <xf numFmtId="0" fontId="7" fillId="2" borderId="0" xfId="0" applyFont="1" applyFill="1" applyAlignment="1">
      <alignment vertical="center"/>
    </xf>
    <xf numFmtId="0" fontId="25" fillId="11" borderId="0" xfId="0" applyFont="1" applyFill="1"/>
    <xf numFmtId="0" fontId="24" fillId="2" borderId="0" xfId="0" applyFont="1" applyFill="1"/>
    <xf numFmtId="16" fontId="8" fillId="2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1" fillId="2" borderId="0" xfId="0" applyFont="1" applyFill="1"/>
    <xf numFmtId="0" fontId="19" fillId="8" borderId="0" xfId="0" applyFont="1" applyFill="1" applyAlignment="1">
      <alignment readingOrder="1"/>
    </xf>
    <xf numFmtId="16" fontId="9" fillId="2" borderId="0" xfId="0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35" fillId="8" borderId="0" xfId="0" applyFont="1" applyFill="1" applyAlignment="1">
      <alignment horizontal="center"/>
    </xf>
    <xf numFmtId="0" fontId="35" fillId="11" borderId="0" xfId="0" applyFont="1" applyFill="1" applyAlignment="1">
      <alignment horizontal="center"/>
    </xf>
    <xf numFmtId="0" fontId="14" fillId="2" borderId="0" xfId="0" applyFont="1" applyFill="1"/>
    <xf numFmtId="0" fontId="9" fillId="0" borderId="0" xfId="0" applyFont="1"/>
    <xf numFmtId="16" fontId="8" fillId="0" borderId="1" xfId="0" applyNumberFormat="1" applyFont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16" fontId="8" fillId="0" borderId="11" xfId="0" applyNumberFormat="1" applyFont="1" applyBorder="1" applyAlignment="1">
      <alignment horizontal="center"/>
    </xf>
    <xf numFmtId="16" fontId="30" fillId="0" borderId="18" xfId="0" applyNumberFormat="1" applyFont="1" applyBorder="1" applyAlignment="1">
      <alignment horizontal="center"/>
    </xf>
    <xf numFmtId="20" fontId="8" fillId="0" borderId="18" xfId="0" applyNumberFormat="1" applyFont="1" applyBorder="1" applyAlignment="1">
      <alignment horizontal="center"/>
    </xf>
    <xf numFmtId="16" fontId="8" fillId="2" borderId="2" xfId="0" applyNumberFormat="1" applyFont="1" applyFill="1" applyBorder="1" applyAlignment="1">
      <alignment horizontal="center"/>
    </xf>
    <xf numFmtId="16" fontId="8" fillId="2" borderId="18" xfId="0" applyNumberFormat="1" applyFont="1" applyFill="1" applyBorder="1" applyAlignment="1">
      <alignment horizontal="center"/>
    </xf>
    <xf numFmtId="16" fontId="30" fillId="8" borderId="18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16" fontId="8" fillId="8" borderId="18" xfId="0" applyNumberFormat="1" applyFont="1" applyFill="1" applyBorder="1" applyAlignment="1">
      <alignment horizontal="center"/>
    </xf>
    <xf numFmtId="20" fontId="8" fillId="8" borderId="18" xfId="0" applyNumberFormat="1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16" fontId="30" fillId="0" borderId="1" xfId="0" applyNumberFormat="1" applyFont="1" applyBorder="1" applyAlignment="1">
      <alignment horizontal="center"/>
    </xf>
    <xf numFmtId="16" fontId="8" fillId="8" borderId="1" xfId="0" applyNumberFormat="1" applyFont="1" applyFill="1" applyBorder="1" applyAlignment="1">
      <alignment horizontal="center"/>
    </xf>
    <xf numFmtId="16" fontId="8" fillId="2" borderId="11" xfId="0" applyNumberFormat="1" applyFont="1" applyFill="1" applyBorder="1" applyAlignment="1">
      <alignment horizontal="center"/>
    </xf>
    <xf numFmtId="16" fontId="8" fillId="7" borderId="1" xfId="0" applyNumberFormat="1" applyFont="1" applyFill="1" applyBorder="1" applyAlignment="1">
      <alignment horizontal="center"/>
    </xf>
    <xf numFmtId="0" fontId="19" fillId="12" borderId="11" xfId="0" applyFont="1" applyFill="1" applyBorder="1" applyAlignment="1">
      <alignment horizontal="center"/>
    </xf>
    <xf numFmtId="16" fontId="8" fillId="0" borderId="4" xfId="0" applyNumberFormat="1" applyFont="1" applyBorder="1" applyAlignment="1">
      <alignment horizontal="center"/>
    </xf>
    <xf numFmtId="16" fontId="8" fillId="2" borderId="4" xfId="0" applyNumberFormat="1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left"/>
    </xf>
    <xf numFmtId="0" fontId="8" fillId="2" borderId="35" xfId="0" applyFont="1" applyFill="1" applyBorder="1" applyAlignment="1">
      <alignment horizontal="center"/>
    </xf>
    <xf numFmtId="0" fontId="8" fillId="2" borderId="35" xfId="0" applyFont="1" applyFill="1" applyBorder="1"/>
    <xf numFmtId="0" fontId="30" fillId="0" borderId="33" xfId="0" applyFont="1" applyBorder="1"/>
    <xf numFmtId="0" fontId="8" fillId="0" borderId="35" xfId="0" applyFont="1" applyBorder="1" applyAlignment="1">
      <alignment horizontal="left" wrapText="1"/>
    </xf>
    <xf numFmtId="0" fontId="8" fillId="0" borderId="35" xfId="0" applyFont="1" applyBorder="1" applyAlignment="1">
      <alignment horizontal="center"/>
    </xf>
    <xf numFmtId="0" fontId="8" fillId="3" borderId="33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14" fillId="3" borderId="9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/>
    <xf numFmtId="0" fontId="8" fillId="13" borderId="1" xfId="0" applyFont="1" applyFill="1" applyBorder="1" applyAlignment="1">
      <alignment horizontal="left"/>
    </xf>
    <xf numFmtId="14" fontId="8" fillId="13" borderId="1" xfId="0" applyNumberFormat="1" applyFont="1" applyFill="1" applyBorder="1" applyAlignment="1">
      <alignment horizontal="center"/>
    </xf>
    <xf numFmtId="0" fontId="30" fillId="13" borderId="1" xfId="0" applyFont="1" applyFill="1" applyBorder="1" applyAlignment="1">
      <alignment horizontal="left"/>
    </xf>
    <xf numFmtId="0" fontId="8" fillId="13" borderId="9" xfId="0" applyFont="1" applyFill="1" applyBorder="1" applyAlignment="1">
      <alignment horizontal="center"/>
    </xf>
    <xf numFmtId="0" fontId="8" fillId="13" borderId="13" xfId="0" applyFont="1" applyFill="1" applyBorder="1" applyAlignment="1">
      <alignment horizontal="center"/>
    </xf>
    <xf numFmtId="16" fontId="8" fillId="13" borderId="1" xfId="0" applyNumberFormat="1" applyFont="1" applyFill="1" applyBorder="1" applyAlignment="1">
      <alignment horizontal="center"/>
    </xf>
    <xf numFmtId="20" fontId="8" fillId="13" borderId="1" xfId="0" applyNumberFormat="1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16" fontId="8" fillId="13" borderId="11" xfId="0" applyNumberFormat="1" applyFont="1" applyFill="1" applyBorder="1" applyAlignment="1">
      <alignment horizontal="center"/>
    </xf>
    <xf numFmtId="20" fontId="8" fillId="13" borderId="11" xfId="0" applyNumberFormat="1" applyFont="1" applyFill="1" applyBorder="1" applyAlignment="1">
      <alignment horizontal="center"/>
    </xf>
    <xf numFmtId="16" fontId="8" fillId="13" borderId="9" xfId="0" applyNumberFormat="1" applyFont="1" applyFill="1" applyBorder="1" applyAlignment="1">
      <alignment horizontal="center"/>
    </xf>
    <xf numFmtId="20" fontId="8" fillId="13" borderId="9" xfId="0" applyNumberFormat="1" applyFont="1" applyFill="1" applyBorder="1" applyAlignment="1">
      <alignment horizontal="center"/>
    </xf>
    <xf numFmtId="0" fontId="8" fillId="13" borderId="11" xfId="0" applyFont="1" applyFill="1" applyBorder="1"/>
    <xf numFmtId="0" fontId="8" fillId="13" borderId="9" xfId="0" applyFont="1" applyFill="1" applyBorder="1"/>
    <xf numFmtId="0" fontId="8" fillId="13" borderId="18" xfId="0" applyFont="1" applyFill="1" applyBorder="1" applyAlignment="1">
      <alignment horizontal="left"/>
    </xf>
    <xf numFmtId="0" fontId="30" fillId="13" borderId="18" xfId="0" applyFont="1" applyFill="1" applyBorder="1" applyAlignment="1">
      <alignment horizontal="center"/>
    </xf>
    <xf numFmtId="0" fontId="0" fillId="13" borderId="0" xfId="0" applyFill="1"/>
    <xf numFmtId="0" fontId="8" fillId="14" borderId="9" xfId="0" applyFont="1" applyFill="1" applyBorder="1"/>
    <xf numFmtId="0" fontId="8" fillId="14" borderId="9" xfId="0" applyFont="1" applyFill="1" applyBorder="1" applyAlignment="1">
      <alignment horizontal="center"/>
    </xf>
    <xf numFmtId="0" fontId="8" fillId="14" borderId="15" xfId="0" applyFont="1" applyFill="1" applyBorder="1" applyAlignment="1">
      <alignment horizontal="center"/>
    </xf>
    <xf numFmtId="0" fontId="39" fillId="14" borderId="22" xfId="0" applyFont="1" applyFill="1" applyBorder="1"/>
    <xf numFmtId="0" fontId="30" fillId="13" borderId="12" xfId="0" applyFont="1" applyFill="1" applyBorder="1"/>
    <xf numFmtId="0" fontId="8" fillId="13" borderId="15" xfId="0" applyFont="1" applyFill="1" applyBorder="1" applyAlignment="1">
      <alignment horizontal="left" wrapText="1"/>
    </xf>
    <xf numFmtId="0" fontId="30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8" fillId="14" borderId="1" xfId="0" applyFont="1" applyFill="1" applyBorder="1" applyAlignment="1">
      <alignment horizontal="center"/>
    </xf>
    <xf numFmtId="0" fontId="30" fillId="13" borderId="1" xfId="0" applyFont="1" applyFill="1" applyBorder="1"/>
    <xf numFmtId="16" fontId="30" fillId="13" borderId="18" xfId="0" applyNumberFormat="1" applyFont="1" applyFill="1" applyBorder="1" applyAlignment="1">
      <alignment horizontal="center"/>
    </xf>
    <xf numFmtId="20" fontId="8" fillId="13" borderId="18" xfId="0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1" xfId="0" applyFont="1" applyFill="1" applyBorder="1"/>
    <xf numFmtId="0" fontId="30" fillId="13" borderId="11" xfId="0" applyFont="1" applyFill="1" applyBorder="1"/>
    <xf numFmtId="0" fontId="8" fillId="13" borderId="10" xfId="0" applyFont="1" applyFill="1" applyBorder="1" applyAlignment="1">
      <alignment horizontal="left" wrapText="1"/>
    </xf>
    <xf numFmtId="0" fontId="30" fillId="13" borderId="11" xfId="0" applyFont="1" applyFill="1" applyBorder="1" applyAlignment="1">
      <alignment horizontal="center"/>
    </xf>
    <xf numFmtId="0" fontId="30" fillId="13" borderId="9" xfId="0" applyFont="1" applyFill="1" applyBorder="1" applyAlignment="1">
      <alignment horizontal="left"/>
    </xf>
    <xf numFmtId="0" fontId="30" fillId="13" borderId="9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left"/>
    </xf>
    <xf numFmtId="0" fontId="8" fillId="13" borderId="18" xfId="0" applyFont="1" applyFill="1" applyBorder="1" applyAlignment="1">
      <alignment horizontal="center"/>
    </xf>
    <xf numFmtId="0" fontId="8" fillId="13" borderId="18" xfId="0" applyFont="1" applyFill="1" applyBorder="1"/>
    <xf numFmtId="0" fontId="8" fillId="13" borderId="2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13" borderId="18" xfId="0" applyFont="1" applyFill="1" applyBorder="1" applyAlignment="1">
      <alignment horizontal="left" wrapText="1"/>
    </xf>
    <xf numFmtId="0" fontId="8" fillId="14" borderId="18" xfId="0" applyFont="1" applyFill="1" applyBorder="1"/>
    <xf numFmtId="0" fontId="8" fillId="14" borderId="18" xfId="0" applyFont="1" applyFill="1" applyBorder="1" applyAlignment="1">
      <alignment horizontal="center"/>
    </xf>
    <xf numFmtId="0" fontId="14" fillId="13" borderId="18" xfId="0" applyFont="1" applyFill="1" applyBorder="1" applyAlignment="1">
      <alignment wrapText="1"/>
    </xf>
    <xf numFmtId="0" fontId="41" fillId="13" borderId="18" xfId="0" applyFont="1" applyFill="1" applyBorder="1"/>
    <xf numFmtId="0" fontId="30" fillId="13" borderId="18" xfId="0" applyFont="1" applyFill="1" applyBorder="1"/>
    <xf numFmtId="0" fontId="8" fillId="14" borderId="18" xfId="0" applyFont="1" applyFill="1" applyBorder="1" applyAlignment="1">
      <alignment horizontal="left"/>
    </xf>
    <xf numFmtId="0" fontId="8" fillId="13" borderId="18" xfId="0" applyFont="1" applyFill="1" applyBorder="1" applyAlignment="1">
      <alignment wrapText="1"/>
    </xf>
    <xf numFmtId="0" fontId="8" fillId="14" borderId="18" xfId="0" applyFont="1" applyFill="1" applyBorder="1" applyAlignment="1">
      <alignment horizontal="left" wrapText="1"/>
    </xf>
    <xf numFmtId="16" fontId="8" fillId="13" borderId="18" xfId="0" applyNumberFormat="1" applyFont="1" applyFill="1" applyBorder="1" applyAlignment="1">
      <alignment horizontal="center"/>
    </xf>
    <xf numFmtId="49" fontId="8" fillId="13" borderId="1" xfId="0" applyNumberFormat="1" applyFont="1" applyFill="1" applyBorder="1" applyAlignment="1">
      <alignment horizontal="left" wrapText="1"/>
    </xf>
    <xf numFmtId="0" fontId="8" fillId="2" borderId="13" xfId="0" applyFont="1" applyFill="1" applyBorder="1" applyAlignment="1">
      <alignment horizontal="center"/>
    </xf>
    <xf numFmtId="14" fontId="8" fillId="13" borderId="11" xfId="0" applyNumberFormat="1" applyFont="1" applyFill="1" applyBorder="1" applyAlignment="1">
      <alignment horizontal="center"/>
    </xf>
    <xf numFmtId="14" fontId="8" fillId="13" borderId="18" xfId="0" applyNumberFormat="1" applyFont="1" applyFill="1" applyBorder="1" applyAlignment="1">
      <alignment horizontal="center"/>
    </xf>
    <xf numFmtId="0" fontId="8" fillId="13" borderId="9" xfId="0" applyFont="1" applyFill="1" applyBorder="1" applyAlignment="1">
      <alignment horizontal="left"/>
    </xf>
    <xf numFmtId="14" fontId="8" fillId="13" borderId="9" xfId="0" applyNumberFormat="1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20" fontId="8" fillId="13" borderId="4" xfId="0" applyNumberFormat="1" applyFont="1" applyFill="1" applyBorder="1" applyAlignment="1">
      <alignment horizontal="center"/>
    </xf>
    <xf numFmtId="0" fontId="30" fillId="0" borderId="18" xfId="0" applyFont="1" applyBorder="1" applyAlignment="1">
      <alignment horizontal="left" wrapText="1"/>
    </xf>
    <xf numFmtId="0" fontId="30" fillId="2" borderId="18" xfId="0" applyFont="1" applyFill="1" applyBorder="1" applyAlignment="1">
      <alignment horizontal="left" wrapText="1"/>
    </xf>
    <xf numFmtId="20" fontId="8" fillId="0" borderId="11" xfId="0" applyNumberFormat="1" applyFont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left"/>
    </xf>
    <xf numFmtId="0" fontId="8" fillId="8" borderId="11" xfId="0" applyFont="1" applyFill="1" applyBorder="1" applyAlignment="1">
      <alignment horizontal="center"/>
    </xf>
    <xf numFmtId="16" fontId="30" fillId="0" borderId="21" xfId="0" applyNumberFormat="1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8" fillId="2" borderId="11" xfId="0" applyFont="1" applyFill="1" applyBorder="1"/>
    <xf numFmtId="0" fontId="8" fillId="0" borderId="13" xfId="0" applyFont="1" applyBorder="1"/>
    <xf numFmtId="0" fontId="8" fillId="2" borderId="11" xfId="0" applyFont="1" applyFill="1" applyBorder="1" applyAlignment="1">
      <alignment horizontal="left" wrapText="1"/>
    </xf>
    <xf numFmtId="0" fontId="35" fillId="4" borderId="11" xfId="0" applyFont="1" applyFill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16" fontId="8" fillId="0" borderId="13" xfId="0" applyNumberFormat="1" applyFont="1" applyBorder="1" applyAlignment="1">
      <alignment horizontal="center"/>
    </xf>
    <xf numFmtId="49" fontId="8" fillId="13" borderId="18" xfId="0" applyNumberFormat="1" applyFont="1" applyFill="1" applyBorder="1" applyAlignment="1">
      <alignment horizontal="left" wrapText="1"/>
    </xf>
    <xf numFmtId="0" fontId="0" fillId="0" borderId="8" xfId="0" applyBorder="1"/>
    <xf numFmtId="0" fontId="19" fillId="13" borderId="18" xfId="0" applyFont="1" applyFill="1" applyBorder="1" applyAlignment="1">
      <alignment horizontal="left"/>
    </xf>
    <xf numFmtId="0" fontId="30" fillId="13" borderId="18" xfId="0" applyFont="1" applyFill="1" applyBorder="1" applyAlignment="1">
      <alignment horizontal="left"/>
    </xf>
    <xf numFmtId="0" fontId="8" fillId="7" borderId="18" xfId="0" applyFont="1" applyFill="1" applyBorder="1" applyAlignment="1">
      <alignment horizontal="left"/>
    </xf>
    <xf numFmtId="0" fontId="19" fillId="7" borderId="18" xfId="0" applyFont="1" applyFill="1" applyBorder="1" applyAlignment="1">
      <alignment horizontal="left" wrapText="1"/>
    </xf>
    <xf numFmtId="16" fontId="8" fillId="7" borderId="18" xfId="0" applyNumberFormat="1" applyFont="1" applyFill="1" applyBorder="1" applyAlignment="1">
      <alignment horizontal="center"/>
    </xf>
    <xf numFmtId="0" fontId="8" fillId="0" borderId="18" xfId="0" applyFont="1" applyBorder="1" applyAlignment="1">
      <alignment horizontal="center" wrapText="1"/>
    </xf>
    <xf numFmtId="0" fontId="0" fillId="0" borderId="0" xfId="0"/>
    <xf numFmtId="0" fontId="9" fillId="2" borderId="23" xfId="0" applyFont="1" applyFill="1" applyBorder="1" applyAlignment="1">
      <alignment horizontal="center"/>
    </xf>
    <xf numFmtId="0" fontId="16" fillId="0" borderId="26" xfId="0" applyFont="1" applyBorder="1"/>
    <xf numFmtId="16" fontId="8" fillId="13" borderId="18" xfId="0" applyNumberFormat="1" applyFont="1" applyFill="1" applyBorder="1" applyAlignment="1">
      <alignment horizontal="center"/>
    </xf>
    <xf numFmtId="20" fontId="8" fillId="13" borderId="18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6" fillId="0" borderId="12" xfId="0" applyFont="1" applyBorder="1"/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3" borderId="11" xfId="0" applyFont="1" applyFill="1" applyBorder="1" applyAlignment="1">
      <alignment horizontal="center" vertical="center"/>
    </xf>
    <xf numFmtId="0" fontId="16" fillId="0" borderId="9" xfId="0" applyFont="1" applyBorder="1"/>
    <xf numFmtId="0" fontId="8" fillId="3" borderId="9" xfId="0" applyFont="1" applyFill="1" applyBorder="1" applyAlignment="1">
      <alignment horizontal="center" vertical="center"/>
    </xf>
    <xf numFmtId="16" fontId="30" fillId="0" borderId="34" xfId="0" applyNumberFormat="1" applyFont="1" applyBorder="1" applyAlignment="1">
      <alignment horizontal="center"/>
    </xf>
    <xf numFmtId="16" fontId="30" fillId="0" borderId="9" xfId="0" applyNumberFormat="1" applyFont="1" applyBorder="1" applyAlignment="1">
      <alignment horizontal="center"/>
    </xf>
    <xf numFmtId="20" fontId="8" fillId="7" borderId="29" xfId="0" applyNumberFormat="1" applyFont="1" applyFill="1" applyBorder="1" applyAlignment="1">
      <alignment horizontal="center"/>
    </xf>
    <xf numFmtId="16" fontId="8" fillId="7" borderId="30" xfId="0" applyNumberFormat="1" applyFont="1" applyFill="1" applyBorder="1" applyAlignment="1">
      <alignment horizontal="center"/>
    </xf>
    <xf numFmtId="0" fontId="8" fillId="1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8" fillId="13" borderId="18" xfId="0" applyFont="1" applyFill="1" applyBorder="1"/>
    <xf numFmtId="0" fontId="8" fillId="13" borderId="18" xfId="0" applyFont="1" applyFill="1" applyBorder="1" applyAlignment="1">
      <alignment horizontal="left"/>
    </xf>
    <xf numFmtId="0" fontId="8" fillId="13" borderId="18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/>
    </xf>
    <xf numFmtId="0" fontId="16" fillId="0" borderId="18" xfId="0" applyFont="1" applyBorder="1"/>
    <xf numFmtId="0" fontId="8" fillId="0" borderId="1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16" fillId="0" borderId="15" xfId="0" applyFont="1" applyBorder="1"/>
    <xf numFmtId="0" fontId="8" fillId="0" borderId="18" xfId="0" applyFont="1" applyBorder="1" applyAlignment="1">
      <alignment horizontal="left"/>
    </xf>
    <xf numFmtId="0" fontId="9" fillId="2" borderId="19" xfId="0" applyFont="1" applyFill="1" applyBorder="1" applyAlignment="1">
      <alignment horizontal="center"/>
    </xf>
    <xf numFmtId="0" fontId="16" fillId="0" borderId="20" xfId="0" applyFont="1" applyBorder="1"/>
    <xf numFmtId="0" fontId="9" fillId="2" borderId="0" xfId="0" applyFont="1" applyFill="1" applyAlignment="1">
      <alignment horizontal="center"/>
    </xf>
    <xf numFmtId="0" fontId="16" fillId="8" borderId="0" xfId="0" applyFont="1" applyFill="1"/>
    <xf numFmtId="16" fontId="8" fillId="7" borderId="2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13" borderId="18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2" xfId="1" xr:uid="{A6566D34-1BB8-4FB0-BA3D-8B2765F970FD}"/>
    <cellStyle name="Normal 3" xfId="2" xr:uid="{207C1E76-1120-4FAD-B062-9A2F1F4EAAE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5954</xdr:colOff>
      <xdr:row>1</xdr:row>
      <xdr:rowOff>172640</xdr:rowOff>
    </xdr:from>
    <xdr:ext cx="3486150" cy="952500"/>
    <xdr:pic>
      <xdr:nvPicPr>
        <xdr:cNvPr id="7" name="image2.png">
          <a:extLst>
            <a:ext uri="{FF2B5EF4-FFF2-40B4-BE49-F238E27FC236}">
              <a16:creationId xmlns:a16="http://schemas.microsoft.com/office/drawing/2014/main" id="{C62BE0F2-6808-4A2B-BFDD-B964EC6FCF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5" y="363140"/>
          <a:ext cx="34861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205</xdr:row>
      <xdr:rowOff>71438</xdr:rowOff>
    </xdr:from>
    <xdr:ext cx="3486150" cy="952500"/>
    <xdr:pic>
      <xdr:nvPicPr>
        <xdr:cNvPr id="3" name="image2.png">
          <a:extLst>
            <a:ext uri="{FF2B5EF4-FFF2-40B4-BE49-F238E27FC236}">
              <a16:creationId xmlns:a16="http://schemas.microsoft.com/office/drawing/2014/main" id="{3D7D2AC0-8AFE-44FB-9D73-8A909C04D24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67847767"/>
          <a:ext cx="3486150" cy="9525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ora Cáceres Rivas" id="{DE4CF8D6-8F47-4351-967E-1FC3592C8DE3}" userId="S::ncaceres@uc.cl::4775468f-af3b-4b22-9e77-4bbcf97b0e0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404"/>
  <sheetViews>
    <sheetView tabSelected="1" view="pageBreakPreview" topLeftCell="A304" zoomScale="99" zoomScaleNormal="99" zoomScaleSheetLayoutView="99" workbookViewId="0">
      <selection activeCell="E106" sqref="E106"/>
    </sheetView>
  </sheetViews>
  <sheetFormatPr baseColWidth="10" defaultColWidth="14.36328125" defaultRowHeight="15" customHeight="1"/>
  <cols>
    <col min="1" max="1" width="2.6328125" style="88" customWidth="1"/>
    <col min="2" max="2" width="10.26953125" customWidth="1"/>
    <col min="3" max="3" width="4.81640625" customWidth="1"/>
    <col min="4" max="4" width="5.36328125" customWidth="1"/>
    <col min="5" max="5" width="46.453125" customWidth="1"/>
    <col min="6" max="6" width="20.81640625" customWidth="1"/>
    <col min="7" max="7" width="36.26953125" customWidth="1"/>
    <col min="8" max="8" width="20.08984375" customWidth="1"/>
    <col min="9" max="9" width="14" customWidth="1"/>
    <col min="10" max="10" width="1.08984375" customWidth="1"/>
    <col min="11" max="11" width="22.6328125" bestFit="1" customWidth="1"/>
    <col min="12" max="12" width="1.26953125" customWidth="1"/>
    <col min="13" max="13" width="11.7265625" customWidth="1"/>
    <col min="14" max="14" width="13.08984375" style="46" customWidth="1"/>
    <col min="15" max="15" width="1.26953125" style="46" customWidth="1"/>
    <col min="16" max="16" width="11.81640625" style="46" customWidth="1"/>
    <col min="17" max="17" width="12.36328125" style="46" customWidth="1"/>
    <col min="18" max="25" width="9.81640625" style="123" customWidth="1"/>
    <col min="26" max="28" width="14.36328125" style="123"/>
    <col min="29" max="34" width="14.36328125" style="88"/>
  </cols>
  <sheetData>
    <row r="1" spans="2:33" s="88" customFormat="1" ht="15" customHeight="1"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spans="2:33" ht="13.5" customHeight="1">
      <c r="B2" s="125"/>
      <c r="C2" s="98"/>
      <c r="D2" s="79"/>
      <c r="E2" s="79"/>
      <c r="F2" s="54"/>
      <c r="G2" s="79"/>
      <c r="H2" s="98"/>
      <c r="I2" s="79"/>
      <c r="J2" s="79"/>
      <c r="K2" s="79"/>
      <c r="L2" s="79"/>
      <c r="M2" s="79"/>
      <c r="N2" s="79"/>
      <c r="O2" s="79"/>
      <c r="P2" s="79"/>
      <c r="Q2" s="79"/>
      <c r="R2" s="74"/>
      <c r="S2" s="74"/>
      <c r="T2" s="74"/>
      <c r="U2" s="73"/>
      <c r="V2" s="73"/>
      <c r="W2" s="73"/>
      <c r="X2" s="73"/>
      <c r="Y2" s="73"/>
      <c r="Z2" s="73"/>
      <c r="AA2" s="73"/>
      <c r="AB2" s="73"/>
      <c r="AC2" s="118"/>
      <c r="AD2" s="118"/>
      <c r="AE2" s="118"/>
      <c r="AF2" s="118"/>
      <c r="AG2" s="118"/>
    </row>
    <row r="3" spans="2:33" ht="13.5" customHeight="1">
      <c r="B3" s="125"/>
      <c r="C3" s="98"/>
      <c r="D3" s="79"/>
      <c r="E3" s="79"/>
      <c r="F3" s="54"/>
      <c r="G3" s="79"/>
      <c r="H3" s="98"/>
      <c r="I3" s="98"/>
      <c r="J3" s="98"/>
      <c r="K3" s="98"/>
      <c r="L3" s="98"/>
      <c r="M3" s="98"/>
      <c r="N3" s="98"/>
      <c r="O3" s="98"/>
      <c r="P3" s="98"/>
      <c r="Q3" s="98"/>
      <c r="R3" s="74"/>
      <c r="S3" s="74"/>
      <c r="T3" s="74"/>
      <c r="U3" s="73"/>
      <c r="V3" s="73"/>
      <c r="W3" s="73"/>
      <c r="X3" s="73"/>
      <c r="Y3" s="73"/>
      <c r="Z3" s="73"/>
      <c r="AA3" s="73"/>
      <c r="AB3" s="73"/>
      <c r="AC3" s="118"/>
      <c r="AD3" s="118"/>
      <c r="AE3" s="118"/>
      <c r="AF3" s="118"/>
      <c r="AG3" s="118"/>
    </row>
    <row r="4" spans="2:33" ht="21.75" customHeight="1">
      <c r="B4" s="125"/>
      <c r="C4" s="98"/>
      <c r="D4" s="79"/>
      <c r="E4" s="79"/>
      <c r="F4" s="54"/>
      <c r="G4" s="126" t="s">
        <v>2</v>
      </c>
      <c r="H4" s="138"/>
      <c r="I4" s="98"/>
      <c r="J4" s="98"/>
      <c r="K4" s="98"/>
      <c r="L4" s="98"/>
      <c r="M4" s="98"/>
      <c r="N4" s="98"/>
      <c r="O4" s="98"/>
      <c r="P4" s="98"/>
      <c r="Q4" s="98"/>
      <c r="R4" s="74"/>
      <c r="S4" s="74"/>
      <c r="T4" s="74"/>
      <c r="U4" s="73"/>
      <c r="V4" s="73"/>
      <c r="W4" s="73"/>
      <c r="X4" s="73"/>
      <c r="Y4" s="73"/>
      <c r="Z4" s="73"/>
      <c r="AA4" s="73"/>
      <c r="AB4" s="73"/>
      <c r="AC4" s="118"/>
      <c r="AD4" s="118"/>
      <c r="AE4" s="118"/>
      <c r="AF4" s="118"/>
      <c r="AG4" s="118"/>
    </row>
    <row r="5" spans="2:33" ht="12.5">
      <c r="B5" s="125"/>
      <c r="C5" s="98"/>
      <c r="D5" s="79"/>
      <c r="E5" s="79"/>
      <c r="F5" s="54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74"/>
      <c r="S5" s="74"/>
      <c r="T5" s="74"/>
      <c r="U5" s="73"/>
      <c r="V5" s="73"/>
      <c r="W5" s="73"/>
      <c r="X5" s="73"/>
      <c r="Y5" s="73"/>
      <c r="Z5" s="73"/>
      <c r="AA5" s="73"/>
      <c r="AB5" s="73"/>
      <c r="AC5" s="118"/>
      <c r="AD5" s="118"/>
      <c r="AE5" s="118"/>
      <c r="AF5" s="118"/>
      <c r="AG5" s="118"/>
    </row>
    <row r="6" spans="2:33" ht="18">
      <c r="B6" s="125"/>
      <c r="C6" s="98"/>
      <c r="D6" s="79"/>
      <c r="E6" s="79"/>
      <c r="F6" s="54"/>
      <c r="G6" s="127" t="s">
        <v>3</v>
      </c>
      <c r="H6" s="140"/>
      <c r="I6" s="79"/>
      <c r="J6" s="79"/>
      <c r="K6" s="79"/>
      <c r="L6" s="79"/>
      <c r="M6" s="79"/>
      <c r="N6" s="79"/>
      <c r="O6" s="79"/>
      <c r="P6" s="79"/>
      <c r="Q6" s="79"/>
      <c r="R6" s="74"/>
      <c r="S6" s="74"/>
      <c r="T6" s="74"/>
      <c r="U6" s="73"/>
      <c r="V6" s="73"/>
      <c r="W6" s="73"/>
      <c r="X6" s="73"/>
      <c r="Y6" s="73"/>
      <c r="Z6" s="73"/>
      <c r="AA6" s="73"/>
      <c r="AB6" s="73"/>
      <c r="AC6" s="118"/>
      <c r="AD6" s="118"/>
      <c r="AE6" s="118"/>
      <c r="AF6" s="118"/>
      <c r="AG6" s="118"/>
    </row>
    <row r="7" spans="2:33" s="88" customFormat="1" ht="15" customHeight="1"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</row>
    <row r="8" spans="2:33" s="88" customFormat="1" ht="15" customHeight="1"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spans="2:33" s="88" customFormat="1" ht="15" customHeight="1">
      <c r="B9" s="124"/>
      <c r="C9" s="124"/>
      <c r="D9" s="124"/>
      <c r="E9" s="124"/>
      <c r="F9" s="124"/>
      <c r="G9" s="124"/>
      <c r="H9" s="124"/>
      <c r="I9" s="124"/>
      <c r="M9" s="54" t="s">
        <v>4</v>
      </c>
      <c r="N9" s="123"/>
      <c r="O9" s="123"/>
      <c r="P9" s="54" t="s">
        <v>913</v>
      </c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</row>
    <row r="10" spans="2:33" ht="13.5" customHeight="1">
      <c r="B10" s="51"/>
      <c r="C10" s="52"/>
      <c r="D10" s="52"/>
      <c r="E10" s="51"/>
      <c r="F10" s="53"/>
      <c r="G10" s="53"/>
      <c r="H10" s="52"/>
      <c r="I10" s="79"/>
      <c r="J10" s="79"/>
      <c r="K10" s="118"/>
      <c r="L10" s="97"/>
      <c r="M10" s="242" t="s">
        <v>5</v>
      </c>
      <c r="N10" s="51"/>
      <c r="O10" s="51"/>
      <c r="P10" s="242" t="s">
        <v>5</v>
      </c>
      <c r="Q10" s="51"/>
      <c r="R10" s="87"/>
      <c r="S10" s="87"/>
      <c r="T10" s="87"/>
      <c r="U10" s="87"/>
      <c r="V10" s="87"/>
      <c r="W10" s="87"/>
      <c r="X10" s="87"/>
      <c r="Y10" s="87"/>
    </row>
    <row r="11" spans="2:33" ht="27" customHeight="1">
      <c r="B11" s="103" t="s">
        <v>6</v>
      </c>
      <c r="C11" s="100"/>
      <c r="D11" s="100"/>
      <c r="E11" s="99"/>
      <c r="F11" s="99"/>
      <c r="G11" s="101"/>
      <c r="H11" s="100"/>
      <c r="I11" s="100"/>
      <c r="J11" s="78"/>
      <c r="K11" s="100"/>
      <c r="L11" s="100"/>
      <c r="M11" s="78"/>
      <c r="N11" s="100"/>
      <c r="O11" s="100"/>
      <c r="P11" s="78"/>
      <c r="Q11" s="100"/>
      <c r="R11" s="128"/>
      <c r="S11" s="128"/>
      <c r="T11" s="128"/>
      <c r="U11" s="128"/>
      <c r="V11" s="128"/>
      <c r="W11" s="128"/>
      <c r="X11" s="128"/>
      <c r="Y11" s="128"/>
    </row>
    <row r="12" spans="2:33" ht="28" customHeight="1">
      <c r="B12" s="397"/>
      <c r="C12" s="100"/>
      <c r="D12" s="100"/>
      <c r="E12" s="99"/>
      <c r="F12" s="99"/>
      <c r="G12" s="101"/>
      <c r="H12" s="169" t="s">
        <v>7</v>
      </c>
      <c r="I12" s="170" t="s">
        <v>8</v>
      </c>
      <c r="J12" s="52"/>
      <c r="K12" s="116" t="s">
        <v>9</v>
      </c>
      <c r="L12" s="52"/>
      <c r="M12" s="405" t="s">
        <v>10</v>
      </c>
      <c r="N12" s="406"/>
      <c r="O12" s="52"/>
      <c r="P12" s="405" t="s">
        <v>914</v>
      </c>
      <c r="Q12" s="406"/>
      <c r="R12" s="87"/>
      <c r="S12" s="87"/>
      <c r="T12" s="87"/>
      <c r="U12" s="87"/>
      <c r="V12" s="87"/>
      <c r="W12" s="87"/>
      <c r="X12" s="87"/>
      <c r="Y12" s="87"/>
    </row>
    <row r="13" spans="2:33" ht="27" customHeight="1">
      <c r="B13" s="200" t="s">
        <v>11</v>
      </c>
      <c r="C13" s="147" t="s">
        <v>12</v>
      </c>
      <c r="D13" s="147" t="s">
        <v>13</v>
      </c>
      <c r="E13" s="200" t="s">
        <v>14</v>
      </c>
      <c r="F13" s="200" t="s">
        <v>15</v>
      </c>
      <c r="G13" s="205" t="s">
        <v>16</v>
      </c>
      <c r="H13" s="147" t="s">
        <v>17</v>
      </c>
      <c r="I13" s="147" t="s">
        <v>17</v>
      </c>
      <c r="J13" s="49"/>
      <c r="K13" s="147" t="s">
        <v>18</v>
      </c>
      <c r="L13" s="50"/>
      <c r="M13" s="147" t="s">
        <v>0</v>
      </c>
      <c r="N13" s="147" t="s">
        <v>1</v>
      </c>
      <c r="O13" s="50"/>
      <c r="P13" s="147" t="s">
        <v>0</v>
      </c>
      <c r="Q13" s="147" t="s">
        <v>1</v>
      </c>
      <c r="R13" s="87"/>
      <c r="S13" s="87"/>
      <c r="T13" s="87"/>
      <c r="U13" s="87"/>
      <c r="V13" s="87"/>
      <c r="W13" s="87"/>
      <c r="X13" s="87"/>
      <c r="Y13" s="87"/>
    </row>
    <row r="14" spans="2:33" ht="27" customHeight="1">
      <c r="B14" s="359" t="s">
        <v>23</v>
      </c>
      <c r="C14" s="358">
        <v>1</v>
      </c>
      <c r="D14" s="358">
        <v>10</v>
      </c>
      <c r="E14" s="359" t="s">
        <v>24</v>
      </c>
      <c r="F14" s="335" t="s">
        <v>25</v>
      </c>
      <c r="G14" s="335" t="s">
        <v>26</v>
      </c>
      <c r="H14" s="375" t="s">
        <v>27</v>
      </c>
      <c r="I14" s="358" t="s">
        <v>28</v>
      </c>
      <c r="J14" s="49"/>
      <c r="K14" s="358" t="s">
        <v>845</v>
      </c>
      <c r="L14" s="50"/>
      <c r="M14" s="371">
        <v>45476</v>
      </c>
      <c r="N14" s="349" t="s">
        <v>29</v>
      </c>
      <c r="O14" s="50"/>
      <c r="P14" s="371">
        <v>45476</v>
      </c>
      <c r="Q14" s="349">
        <v>0.72916666666666663</v>
      </c>
      <c r="R14" s="87"/>
      <c r="S14" s="87"/>
      <c r="T14" s="87"/>
      <c r="U14" s="87"/>
      <c r="V14" s="87"/>
      <c r="W14" s="87"/>
      <c r="X14" s="87"/>
      <c r="Y14" s="87"/>
    </row>
    <row r="15" spans="2:33" ht="27" customHeight="1">
      <c r="B15" s="359" t="s">
        <v>23</v>
      </c>
      <c r="C15" s="358">
        <v>2</v>
      </c>
      <c r="D15" s="358">
        <v>10</v>
      </c>
      <c r="E15" s="359" t="s">
        <v>24</v>
      </c>
      <c r="F15" s="335" t="s">
        <v>30</v>
      </c>
      <c r="G15" s="335" t="s">
        <v>26</v>
      </c>
      <c r="H15" s="358" t="s">
        <v>31</v>
      </c>
      <c r="I15" s="358" t="s">
        <v>28</v>
      </c>
      <c r="J15" s="49"/>
      <c r="K15" s="358" t="s">
        <v>845</v>
      </c>
      <c r="L15" s="50"/>
      <c r="M15" s="371">
        <v>45476</v>
      </c>
      <c r="N15" s="349" t="s">
        <v>29</v>
      </c>
      <c r="O15" s="50"/>
      <c r="P15" s="371">
        <v>45476</v>
      </c>
      <c r="Q15" s="349">
        <v>0.72916666666666663</v>
      </c>
      <c r="R15" s="87"/>
      <c r="S15" s="87"/>
      <c r="T15" s="87"/>
      <c r="U15" s="87"/>
      <c r="V15" s="87"/>
      <c r="W15" s="87"/>
      <c r="X15" s="87"/>
      <c r="Y15" s="87"/>
    </row>
    <row r="16" spans="2:33" ht="27" customHeight="1">
      <c r="B16" s="359" t="s">
        <v>23</v>
      </c>
      <c r="C16" s="358">
        <v>3</v>
      </c>
      <c r="D16" s="358">
        <v>10</v>
      </c>
      <c r="E16" s="359" t="s">
        <v>24</v>
      </c>
      <c r="F16" s="398" t="s">
        <v>32</v>
      </c>
      <c r="G16" s="335" t="s">
        <v>26</v>
      </c>
      <c r="H16" s="358" t="s">
        <v>31</v>
      </c>
      <c r="I16" s="358" t="s">
        <v>28</v>
      </c>
      <c r="J16" s="49"/>
      <c r="K16" s="358" t="s">
        <v>845</v>
      </c>
      <c r="L16" s="50"/>
      <c r="M16" s="371">
        <v>45476</v>
      </c>
      <c r="N16" s="349" t="s">
        <v>29</v>
      </c>
      <c r="O16" s="50"/>
      <c r="P16" s="371">
        <v>45476</v>
      </c>
      <c r="Q16" s="349">
        <v>0.72916666666666663</v>
      </c>
      <c r="R16" s="87"/>
      <c r="S16" s="87"/>
      <c r="T16" s="87"/>
      <c r="U16" s="87"/>
      <c r="V16" s="87"/>
      <c r="W16" s="87"/>
      <c r="X16" s="87"/>
      <c r="Y16" s="87"/>
    </row>
    <row r="17" spans="2:25" ht="27" customHeight="1">
      <c r="B17" s="359" t="s">
        <v>23</v>
      </c>
      <c r="C17" s="358">
        <v>4</v>
      </c>
      <c r="D17" s="358">
        <v>10</v>
      </c>
      <c r="E17" s="359" t="s">
        <v>24</v>
      </c>
      <c r="F17" s="399" t="s">
        <v>33</v>
      </c>
      <c r="G17" s="335" t="s">
        <v>26</v>
      </c>
      <c r="H17" s="358" t="s">
        <v>34</v>
      </c>
      <c r="I17" s="358" t="s">
        <v>28</v>
      </c>
      <c r="J17" s="49"/>
      <c r="K17" s="358" t="s">
        <v>845</v>
      </c>
      <c r="L17" s="50"/>
      <c r="M17" s="371">
        <v>45476</v>
      </c>
      <c r="N17" s="349" t="s">
        <v>29</v>
      </c>
      <c r="O17" s="50"/>
      <c r="P17" s="371">
        <v>45476</v>
      </c>
      <c r="Q17" s="349">
        <v>0.72916666666666663</v>
      </c>
      <c r="R17" s="87"/>
      <c r="S17" s="87"/>
      <c r="T17" s="87"/>
      <c r="U17" s="87"/>
      <c r="V17" s="87"/>
      <c r="W17" s="87"/>
      <c r="X17" s="87"/>
      <c r="Y17" s="87"/>
    </row>
    <row r="18" spans="2:25" ht="27" customHeight="1">
      <c r="B18" s="359" t="s">
        <v>23</v>
      </c>
      <c r="C18" s="358">
        <v>5</v>
      </c>
      <c r="D18" s="358">
        <v>10</v>
      </c>
      <c r="E18" s="359" t="s">
        <v>24</v>
      </c>
      <c r="F18" s="335" t="s">
        <v>30</v>
      </c>
      <c r="G18" s="335" t="s">
        <v>26</v>
      </c>
      <c r="H18" s="358" t="s">
        <v>35</v>
      </c>
      <c r="I18" s="358" t="s">
        <v>28</v>
      </c>
      <c r="J18" s="49"/>
      <c r="K18" s="358" t="s">
        <v>845</v>
      </c>
      <c r="L18" s="50"/>
      <c r="M18" s="371">
        <v>45476</v>
      </c>
      <c r="N18" s="349" t="s">
        <v>29</v>
      </c>
      <c r="O18" s="50"/>
      <c r="P18" s="371">
        <v>45476</v>
      </c>
      <c r="Q18" s="349">
        <v>0.72916666666666663</v>
      </c>
      <c r="R18" s="87"/>
      <c r="S18" s="87"/>
      <c r="T18" s="87"/>
      <c r="U18" s="87"/>
      <c r="V18" s="87"/>
      <c r="W18" s="87"/>
      <c r="X18" s="87"/>
      <c r="Y18" s="87"/>
    </row>
    <row r="19" spans="2:25" ht="27" customHeight="1">
      <c r="B19" s="359" t="s">
        <v>23</v>
      </c>
      <c r="C19" s="358">
        <v>6</v>
      </c>
      <c r="D19" s="358">
        <v>10</v>
      </c>
      <c r="E19" s="359" t="s">
        <v>24</v>
      </c>
      <c r="F19" s="335" t="s">
        <v>25</v>
      </c>
      <c r="G19" s="335" t="s">
        <v>26</v>
      </c>
      <c r="H19" s="375" t="s">
        <v>36</v>
      </c>
      <c r="I19" s="358" t="s">
        <v>28</v>
      </c>
      <c r="J19" s="49"/>
      <c r="K19" s="358" t="s">
        <v>845</v>
      </c>
      <c r="L19" s="50"/>
      <c r="M19" s="371">
        <v>45476</v>
      </c>
      <c r="N19" s="349" t="s">
        <v>29</v>
      </c>
      <c r="O19" s="50"/>
      <c r="P19" s="371">
        <v>45476</v>
      </c>
      <c r="Q19" s="349">
        <v>0.72916666666666663</v>
      </c>
      <c r="R19" s="87"/>
      <c r="S19" s="87"/>
      <c r="T19" s="87"/>
      <c r="U19" s="87"/>
      <c r="V19" s="87"/>
      <c r="W19" s="87"/>
      <c r="X19" s="87"/>
      <c r="Y19" s="87"/>
    </row>
    <row r="20" spans="2:25" ht="27" customHeight="1">
      <c r="B20" s="359" t="s">
        <v>23</v>
      </c>
      <c r="C20" s="358">
        <v>7</v>
      </c>
      <c r="D20" s="358">
        <v>10</v>
      </c>
      <c r="E20" s="359" t="s">
        <v>24</v>
      </c>
      <c r="F20" s="398" t="s">
        <v>37</v>
      </c>
      <c r="G20" s="335" t="s">
        <v>26</v>
      </c>
      <c r="H20" s="358" t="s">
        <v>38</v>
      </c>
      <c r="I20" s="358" t="s">
        <v>28</v>
      </c>
      <c r="J20" s="49"/>
      <c r="K20" s="358" t="s">
        <v>845</v>
      </c>
      <c r="L20" s="50"/>
      <c r="M20" s="371">
        <v>45476</v>
      </c>
      <c r="N20" s="349" t="s">
        <v>29</v>
      </c>
      <c r="O20" s="50"/>
      <c r="P20" s="371">
        <v>45476</v>
      </c>
      <c r="Q20" s="349">
        <v>0.72916666666666663</v>
      </c>
      <c r="R20" s="87"/>
      <c r="S20" s="87"/>
      <c r="T20" s="87"/>
      <c r="U20" s="87"/>
      <c r="V20" s="87"/>
      <c r="W20" s="87"/>
      <c r="X20" s="87"/>
      <c r="Y20" s="87"/>
    </row>
    <row r="21" spans="2:25" ht="27" customHeight="1">
      <c r="B21" s="359" t="s">
        <v>23</v>
      </c>
      <c r="C21" s="358">
        <v>8</v>
      </c>
      <c r="D21" s="358">
        <v>10</v>
      </c>
      <c r="E21" s="359" t="s">
        <v>24</v>
      </c>
      <c r="F21" s="398" t="s">
        <v>32</v>
      </c>
      <c r="G21" s="335" t="s">
        <v>26</v>
      </c>
      <c r="H21" s="358" t="s">
        <v>36</v>
      </c>
      <c r="I21" s="358" t="s">
        <v>28</v>
      </c>
      <c r="J21" s="49"/>
      <c r="K21" s="358" t="s">
        <v>845</v>
      </c>
      <c r="L21" s="50"/>
      <c r="M21" s="371">
        <v>45476</v>
      </c>
      <c r="N21" s="349" t="s">
        <v>29</v>
      </c>
      <c r="O21" s="50"/>
      <c r="P21" s="371">
        <v>45476</v>
      </c>
      <c r="Q21" s="349">
        <v>0.72916666666666663</v>
      </c>
      <c r="R21" s="87"/>
      <c r="S21" s="87"/>
      <c r="T21" s="87"/>
      <c r="U21" s="87"/>
      <c r="V21" s="87"/>
      <c r="W21" s="87"/>
      <c r="X21" s="87"/>
      <c r="Y21" s="87"/>
    </row>
    <row r="22" spans="2:25" ht="27" customHeight="1">
      <c r="B22" s="44" t="s">
        <v>39</v>
      </c>
      <c r="C22" s="59">
        <v>1</v>
      </c>
      <c r="D22" s="59">
        <v>10</v>
      </c>
      <c r="E22" s="44" t="s">
        <v>40</v>
      </c>
      <c r="F22" s="42" t="s">
        <v>41</v>
      </c>
      <c r="G22" s="42" t="s">
        <v>26</v>
      </c>
      <c r="H22" s="59" t="s">
        <v>36</v>
      </c>
      <c r="I22" s="59" t="s">
        <v>42</v>
      </c>
      <c r="J22" s="49"/>
      <c r="K22" s="59" t="s">
        <v>846</v>
      </c>
      <c r="L22" s="50"/>
      <c r="M22" s="166">
        <v>45847</v>
      </c>
      <c r="N22" s="289" t="s">
        <v>29</v>
      </c>
      <c r="O22" s="50"/>
      <c r="P22" s="166">
        <v>45847</v>
      </c>
      <c r="Q22" s="289">
        <v>0.72916666666666663</v>
      </c>
      <c r="R22" s="87"/>
      <c r="S22" s="87"/>
      <c r="T22" s="87"/>
      <c r="U22" s="87"/>
      <c r="V22" s="87"/>
      <c r="W22" s="87"/>
      <c r="X22" s="87"/>
      <c r="Y22" s="87"/>
    </row>
    <row r="23" spans="2:25" ht="28" customHeight="1">
      <c r="B23" s="44" t="s">
        <v>39</v>
      </c>
      <c r="C23" s="59">
        <v>2</v>
      </c>
      <c r="D23" s="59">
        <v>10</v>
      </c>
      <c r="E23" s="44" t="s">
        <v>40</v>
      </c>
      <c r="F23" s="42" t="s">
        <v>43</v>
      </c>
      <c r="G23" s="42" t="s">
        <v>26</v>
      </c>
      <c r="H23" s="59" t="s">
        <v>44</v>
      </c>
      <c r="I23" s="59" t="s">
        <v>42</v>
      </c>
      <c r="J23" s="49"/>
      <c r="K23" s="59" t="s">
        <v>846</v>
      </c>
      <c r="L23" s="50"/>
      <c r="M23" s="166">
        <v>45847</v>
      </c>
      <c r="N23" s="289" t="s">
        <v>29</v>
      </c>
      <c r="O23" s="50"/>
      <c r="P23" s="166">
        <v>45847</v>
      </c>
      <c r="Q23" s="289">
        <v>0.72916666666666663</v>
      </c>
      <c r="R23" s="87"/>
      <c r="S23" s="87"/>
      <c r="T23" s="87"/>
      <c r="U23" s="87"/>
      <c r="V23" s="87"/>
      <c r="W23" s="87"/>
      <c r="X23" s="87"/>
      <c r="Y23" s="87"/>
    </row>
    <row r="24" spans="2:25" ht="27" customHeight="1">
      <c r="B24" s="44" t="s">
        <v>39</v>
      </c>
      <c r="C24" s="59">
        <v>3</v>
      </c>
      <c r="D24" s="59">
        <v>10</v>
      </c>
      <c r="E24" s="44" t="s">
        <v>40</v>
      </c>
      <c r="F24" s="42" t="s">
        <v>45</v>
      </c>
      <c r="G24" s="42" t="s">
        <v>26</v>
      </c>
      <c r="H24" s="59" t="s">
        <v>34</v>
      </c>
      <c r="I24" s="59" t="s">
        <v>42</v>
      </c>
      <c r="J24" s="49"/>
      <c r="K24" s="59" t="s">
        <v>846</v>
      </c>
      <c r="L24" s="50"/>
      <c r="M24" s="166">
        <v>45847</v>
      </c>
      <c r="N24" s="289" t="s">
        <v>29</v>
      </c>
      <c r="O24" s="50"/>
      <c r="P24" s="166">
        <v>45847</v>
      </c>
      <c r="Q24" s="289">
        <v>0.72916666666666663</v>
      </c>
      <c r="R24" s="87"/>
      <c r="S24" s="87"/>
      <c r="T24" s="87"/>
      <c r="U24" s="87"/>
      <c r="V24" s="87"/>
      <c r="W24" s="87"/>
      <c r="X24" s="87"/>
      <c r="Y24" s="87"/>
    </row>
    <row r="25" spans="2:25" ht="27" customHeight="1">
      <c r="B25" s="44" t="s">
        <v>39</v>
      </c>
      <c r="C25" s="59">
        <v>4</v>
      </c>
      <c r="D25" s="59">
        <v>10</v>
      </c>
      <c r="E25" s="44" t="s">
        <v>40</v>
      </c>
      <c r="F25" s="42" t="s">
        <v>41</v>
      </c>
      <c r="G25" s="42" t="s">
        <v>26</v>
      </c>
      <c r="H25" s="59" t="s">
        <v>31</v>
      </c>
      <c r="I25" s="59" t="s">
        <v>42</v>
      </c>
      <c r="J25" s="49"/>
      <c r="K25" s="59" t="s">
        <v>846</v>
      </c>
      <c r="L25" s="50"/>
      <c r="M25" s="166">
        <v>45847</v>
      </c>
      <c r="N25" s="289" t="s">
        <v>29</v>
      </c>
      <c r="O25" s="50"/>
      <c r="P25" s="166">
        <v>45847</v>
      </c>
      <c r="Q25" s="289">
        <v>0.72916666666666663</v>
      </c>
      <c r="R25" s="87"/>
      <c r="S25" s="87"/>
      <c r="T25" s="87"/>
      <c r="U25" s="87"/>
      <c r="V25" s="87"/>
      <c r="W25" s="87"/>
      <c r="X25" s="87"/>
      <c r="Y25" s="87"/>
    </row>
    <row r="26" spans="2:25" ht="27" customHeight="1">
      <c r="B26" s="44" t="s">
        <v>39</v>
      </c>
      <c r="C26" s="59">
        <v>5</v>
      </c>
      <c r="D26" s="59">
        <v>10</v>
      </c>
      <c r="E26" s="44" t="s">
        <v>40</v>
      </c>
      <c r="F26" s="42" t="s">
        <v>46</v>
      </c>
      <c r="G26" s="42" t="s">
        <v>26</v>
      </c>
      <c r="H26" s="117" t="s">
        <v>34</v>
      </c>
      <c r="I26" s="59" t="s">
        <v>42</v>
      </c>
      <c r="J26" s="49"/>
      <c r="K26" s="59" t="s">
        <v>846</v>
      </c>
      <c r="L26" s="50"/>
      <c r="M26" s="166">
        <v>45847</v>
      </c>
      <c r="N26" s="289" t="s">
        <v>29</v>
      </c>
      <c r="O26" s="50"/>
      <c r="P26" s="166">
        <v>45847</v>
      </c>
      <c r="Q26" s="289">
        <v>0.72916666666666663</v>
      </c>
      <c r="R26" s="87"/>
      <c r="S26" s="87"/>
      <c r="T26" s="87"/>
      <c r="U26" s="87"/>
      <c r="V26" s="87"/>
      <c r="W26" s="87"/>
      <c r="X26" s="87"/>
      <c r="Y26" s="87"/>
    </row>
    <row r="27" spans="2:25" ht="27" customHeight="1">
      <c r="B27" s="44" t="s">
        <v>39</v>
      </c>
      <c r="C27" s="59">
        <v>6</v>
      </c>
      <c r="D27" s="59">
        <v>10</v>
      </c>
      <c r="E27" s="44" t="s">
        <v>40</v>
      </c>
      <c r="F27" s="42" t="s">
        <v>46</v>
      </c>
      <c r="G27" s="42" t="s">
        <v>26</v>
      </c>
      <c r="H27" s="117" t="s">
        <v>47</v>
      </c>
      <c r="I27" s="59" t="s">
        <v>42</v>
      </c>
      <c r="J27" s="49"/>
      <c r="K27" s="59" t="s">
        <v>846</v>
      </c>
      <c r="L27" s="50"/>
      <c r="M27" s="166">
        <v>45847</v>
      </c>
      <c r="N27" s="289" t="s">
        <v>29</v>
      </c>
      <c r="O27" s="50"/>
      <c r="P27" s="166">
        <v>45847</v>
      </c>
      <c r="Q27" s="289">
        <v>0.72916666666666663</v>
      </c>
      <c r="R27" s="87"/>
      <c r="S27" s="87"/>
      <c r="T27" s="87"/>
      <c r="U27" s="87"/>
      <c r="V27" s="87"/>
      <c r="W27" s="87"/>
      <c r="X27" s="87"/>
      <c r="Y27" s="87"/>
    </row>
    <row r="28" spans="2:25" ht="27" customHeight="1">
      <c r="B28" s="44" t="s">
        <v>39</v>
      </c>
      <c r="C28" s="59">
        <v>7</v>
      </c>
      <c r="D28" s="59">
        <v>10</v>
      </c>
      <c r="E28" s="44" t="s">
        <v>40</v>
      </c>
      <c r="F28" s="42" t="s">
        <v>46</v>
      </c>
      <c r="G28" s="42" t="s">
        <v>26</v>
      </c>
      <c r="H28" s="117" t="s">
        <v>48</v>
      </c>
      <c r="I28" s="59" t="s">
        <v>42</v>
      </c>
      <c r="J28" s="49"/>
      <c r="K28" s="59" t="s">
        <v>846</v>
      </c>
      <c r="L28" s="50"/>
      <c r="M28" s="166">
        <v>45847</v>
      </c>
      <c r="N28" s="289" t="s">
        <v>29</v>
      </c>
      <c r="O28" s="50"/>
      <c r="P28" s="166">
        <v>45847</v>
      </c>
      <c r="Q28" s="289">
        <v>0.72916666666666663</v>
      </c>
      <c r="R28" s="87"/>
      <c r="S28" s="87"/>
      <c r="T28" s="87"/>
      <c r="U28" s="87"/>
      <c r="V28" s="87"/>
      <c r="W28" s="87"/>
      <c r="X28" s="87"/>
      <c r="Y28" s="87"/>
    </row>
    <row r="29" spans="2:25" ht="27" customHeight="1">
      <c r="B29" s="44" t="s">
        <v>39</v>
      </c>
      <c r="C29" s="59">
        <v>8</v>
      </c>
      <c r="D29" s="59">
        <v>10</v>
      </c>
      <c r="E29" s="44" t="s">
        <v>40</v>
      </c>
      <c r="F29" s="42" t="s">
        <v>45</v>
      </c>
      <c r="G29" s="42" t="s">
        <v>26</v>
      </c>
      <c r="H29" s="59" t="s">
        <v>49</v>
      </c>
      <c r="I29" s="59" t="s">
        <v>42</v>
      </c>
      <c r="J29" s="49"/>
      <c r="K29" s="59" t="s">
        <v>846</v>
      </c>
      <c r="L29" s="50"/>
      <c r="M29" s="166">
        <v>45847</v>
      </c>
      <c r="N29" s="289" t="s">
        <v>29</v>
      </c>
      <c r="O29" s="50"/>
      <c r="P29" s="166">
        <v>45847</v>
      </c>
      <c r="Q29" s="289">
        <v>0.72916666666666663</v>
      </c>
      <c r="R29" s="87"/>
      <c r="S29" s="87"/>
      <c r="T29" s="87"/>
      <c r="U29" s="87"/>
      <c r="V29" s="87"/>
      <c r="W29" s="87"/>
      <c r="X29" s="87"/>
      <c r="Y29" s="87"/>
    </row>
    <row r="30" spans="2:25" ht="27" customHeight="1">
      <c r="B30" s="359" t="s">
        <v>50</v>
      </c>
      <c r="C30" s="358">
        <v>1</v>
      </c>
      <c r="D30" s="358">
        <v>10</v>
      </c>
      <c r="E30" s="359" t="s">
        <v>51</v>
      </c>
      <c r="F30" s="335" t="s">
        <v>52</v>
      </c>
      <c r="G30" s="335" t="s">
        <v>53</v>
      </c>
      <c r="H30" s="375" t="s">
        <v>36</v>
      </c>
      <c r="I30" s="358" t="s">
        <v>54</v>
      </c>
      <c r="J30" s="49"/>
      <c r="K30" s="358" t="s">
        <v>846</v>
      </c>
      <c r="L30" s="50"/>
      <c r="M30" s="371">
        <v>45848</v>
      </c>
      <c r="N30" s="349" t="s">
        <v>29</v>
      </c>
      <c r="O30" s="50"/>
      <c r="P30" s="371">
        <v>45848</v>
      </c>
      <c r="Q30" s="349">
        <v>0.72916666666666663</v>
      </c>
      <c r="R30" s="87"/>
      <c r="S30" s="87"/>
      <c r="T30" s="87"/>
      <c r="U30" s="87"/>
      <c r="V30" s="87"/>
      <c r="W30" s="87"/>
      <c r="X30" s="87"/>
      <c r="Y30" s="87"/>
    </row>
    <row r="31" spans="2:25" ht="27" customHeight="1">
      <c r="B31" s="359" t="s">
        <v>50</v>
      </c>
      <c r="C31" s="358">
        <v>2</v>
      </c>
      <c r="D31" s="358">
        <v>10</v>
      </c>
      <c r="E31" s="359" t="s">
        <v>51</v>
      </c>
      <c r="F31" s="335" t="s">
        <v>52</v>
      </c>
      <c r="G31" s="335" t="s">
        <v>53</v>
      </c>
      <c r="H31" s="375" t="s">
        <v>31</v>
      </c>
      <c r="I31" s="358" t="s">
        <v>54</v>
      </c>
      <c r="J31" s="49"/>
      <c r="K31" s="358" t="s">
        <v>846</v>
      </c>
      <c r="L31" s="50"/>
      <c r="M31" s="371">
        <v>45848</v>
      </c>
      <c r="N31" s="349" t="s">
        <v>29</v>
      </c>
      <c r="O31" s="50"/>
      <c r="P31" s="371">
        <v>45848</v>
      </c>
      <c r="Q31" s="349">
        <v>0.72916666666666663</v>
      </c>
      <c r="R31" s="87"/>
      <c r="S31" s="87"/>
      <c r="T31" s="87"/>
      <c r="U31" s="87"/>
      <c r="V31" s="87"/>
      <c r="W31" s="87"/>
      <c r="X31" s="87"/>
      <c r="Y31" s="87"/>
    </row>
    <row r="32" spans="2:25" ht="27" customHeight="1">
      <c r="B32" s="359" t="s">
        <v>50</v>
      </c>
      <c r="C32" s="358">
        <v>3</v>
      </c>
      <c r="D32" s="358">
        <v>10</v>
      </c>
      <c r="E32" s="359" t="s">
        <v>51</v>
      </c>
      <c r="F32" s="335" t="s">
        <v>52</v>
      </c>
      <c r="G32" s="335" t="s">
        <v>53</v>
      </c>
      <c r="H32" s="375" t="s">
        <v>35</v>
      </c>
      <c r="I32" s="358" t="s">
        <v>54</v>
      </c>
      <c r="J32" s="49"/>
      <c r="K32" s="358" t="s">
        <v>846</v>
      </c>
      <c r="L32" s="50"/>
      <c r="M32" s="371">
        <v>45848</v>
      </c>
      <c r="N32" s="349" t="s">
        <v>29</v>
      </c>
      <c r="O32" s="50"/>
      <c r="P32" s="371">
        <v>45848</v>
      </c>
      <c r="Q32" s="349">
        <v>0.72916666666666663</v>
      </c>
      <c r="R32" s="87"/>
      <c r="S32" s="87"/>
      <c r="T32" s="87"/>
      <c r="U32" s="87"/>
      <c r="V32" s="87"/>
      <c r="W32" s="87"/>
      <c r="X32" s="87"/>
      <c r="Y32" s="87"/>
    </row>
    <row r="33" spans="2:25" ht="27" customHeight="1">
      <c r="B33" s="359" t="s">
        <v>50</v>
      </c>
      <c r="C33" s="358">
        <v>4</v>
      </c>
      <c r="D33" s="358">
        <v>10</v>
      </c>
      <c r="E33" s="359" t="s">
        <v>51</v>
      </c>
      <c r="F33" s="335" t="s">
        <v>56</v>
      </c>
      <c r="G33" s="335" t="s">
        <v>53</v>
      </c>
      <c r="H33" s="375" t="s">
        <v>34</v>
      </c>
      <c r="I33" s="358" t="s">
        <v>54</v>
      </c>
      <c r="J33" s="49"/>
      <c r="K33" s="358" t="s">
        <v>846</v>
      </c>
      <c r="L33" s="50"/>
      <c r="M33" s="371">
        <v>45848</v>
      </c>
      <c r="N33" s="349" t="s">
        <v>29</v>
      </c>
      <c r="O33" s="50"/>
      <c r="P33" s="371">
        <v>45848</v>
      </c>
      <c r="Q33" s="349">
        <v>0.72916666666666663</v>
      </c>
      <c r="R33" s="87"/>
      <c r="S33" s="87"/>
      <c r="T33" s="87"/>
      <c r="U33" s="87"/>
      <c r="V33" s="87"/>
      <c r="W33" s="87"/>
      <c r="X33" s="87"/>
      <c r="Y33" s="87"/>
    </row>
    <row r="34" spans="2:25" ht="27" customHeight="1">
      <c r="B34" s="359" t="s">
        <v>50</v>
      </c>
      <c r="C34" s="358">
        <v>5</v>
      </c>
      <c r="D34" s="358">
        <v>10</v>
      </c>
      <c r="E34" s="359" t="s">
        <v>51</v>
      </c>
      <c r="F34" s="335" t="s">
        <v>56</v>
      </c>
      <c r="G34" s="335" t="s">
        <v>53</v>
      </c>
      <c r="H34" s="375" t="s">
        <v>47</v>
      </c>
      <c r="I34" s="358" t="s">
        <v>54</v>
      </c>
      <c r="J34" s="49"/>
      <c r="K34" s="358" t="s">
        <v>846</v>
      </c>
      <c r="L34" s="50"/>
      <c r="M34" s="371">
        <v>45848</v>
      </c>
      <c r="N34" s="349" t="s">
        <v>29</v>
      </c>
      <c r="O34" s="50"/>
      <c r="P34" s="371">
        <v>45848</v>
      </c>
      <c r="Q34" s="349">
        <v>0.72916666666666663</v>
      </c>
      <c r="R34" s="87"/>
      <c r="S34" s="87"/>
      <c r="T34" s="87"/>
      <c r="U34" s="87"/>
      <c r="V34" s="87"/>
      <c r="W34" s="87"/>
      <c r="X34" s="87"/>
      <c r="Y34" s="87"/>
    </row>
    <row r="35" spans="2:25" ht="27" customHeight="1">
      <c r="B35" s="44" t="s">
        <v>57</v>
      </c>
      <c r="C35" s="59">
        <v>1</v>
      </c>
      <c r="D35" s="59">
        <v>10</v>
      </c>
      <c r="E35" s="44" t="s">
        <v>58</v>
      </c>
      <c r="F35" s="220" t="s">
        <v>59</v>
      </c>
      <c r="G35" s="42" t="s">
        <v>60</v>
      </c>
      <c r="H35" s="59" t="s">
        <v>27</v>
      </c>
      <c r="I35" s="59" t="s">
        <v>61</v>
      </c>
      <c r="J35" s="49"/>
      <c r="K35" s="59" t="s">
        <v>846</v>
      </c>
      <c r="L35" s="50"/>
      <c r="M35" s="291">
        <v>45473</v>
      </c>
      <c r="N35" s="59" t="s">
        <v>55</v>
      </c>
      <c r="O35" s="50"/>
      <c r="P35" s="291">
        <v>45473</v>
      </c>
      <c r="Q35" s="289">
        <v>0.72916666666666663</v>
      </c>
      <c r="R35" s="87"/>
      <c r="S35" s="87"/>
      <c r="T35" s="87"/>
      <c r="U35" s="87"/>
      <c r="V35" s="87"/>
      <c r="W35" s="87"/>
      <c r="X35" s="87"/>
      <c r="Y35" s="87"/>
    </row>
    <row r="36" spans="2:25" ht="27" customHeight="1">
      <c r="B36" s="44" t="s">
        <v>57</v>
      </c>
      <c r="C36" s="59">
        <v>2</v>
      </c>
      <c r="D36" s="59">
        <v>5</v>
      </c>
      <c r="E36" s="44" t="s">
        <v>58</v>
      </c>
      <c r="F36" s="42" t="s">
        <v>62</v>
      </c>
      <c r="G36" s="42" t="s">
        <v>60</v>
      </c>
      <c r="H36" s="59" t="s">
        <v>31</v>
      </c>
      <c r="I36" s="59" t="s">
        <v>61</v>
      </c>
      <c r="J36" s="49"/>
      <c r="K36" s="59" t="s">
        <v>846</v>
      </c>
      <c r="L36" s="50"/>
      <c r="M36" s="291">
        <v>45473</v>
      </c>
      <c r="N36" s="59" t="s">
        <v>55</v>
      </c>
      <c r="O36" s="50"/>
      <c r="P36" s="291">
        <v>45473</v>
      </c>
      <c r="Q36" s="289">
        <v>0.72916666666666663</v>
      </c>
      <c r="R36" s="87"/>
      <c r="S36" s="87"/>
      <c r="T36" s="87"/>
      <c r="U36" s="87"/>
      <c r="V36" s="87"/>
      <c r="W36" s="87"/>
      <c r="X36" s="87"/>
      <c r="Y36" s="87"/>
    </row>
    <row r="37" spans="2:25" ht="27" customHeight="1">
      <c r="B37" s="44" t="s">
        <v>57</v>
      </c>
      <c r="C37" s="59">
        <v>3</v>
      </c>
      <c r="D37" s="59">
        <v>5</v>
      </c>
      <c r="E37" s="44" t="s">
        <v>58</v>
      </c>
      <c r="F37" s="42" t="s">
        <v>63</v>
      </c>
      <c r="G37" s="42" t="s">
        <v>60</v>
      </c>
      <c r="H37" s="59" t="s">
        <v>35</v>
      </c>
      <c r="I37" s="59" t="s">
        <v>64</v>
      </c>
      <c r="J37" s="49"/>
      <c r="K37" s="59" t="s">
        <v>846</v>
      </c>
      <c r="L37" s="50"/>
      <c r="M37" s="291">
        <v>45473</v>
      </c>
      <c r="N37" s="59" t="s">
        <v>55</v>
      </c>
      <c r="O37" s="50"/>
      <c r="P37" s="291">
        <v>45473</v>
      </c>
      <c r="Q37" s="289">
        <v>0.72916666666666663</v>
      </c>
      <c r="R37" s="87"/>
      <c r="S37" s="87"/>
      <c r="T37" s="87"/>
      <c r="U37" s="87"/>
      <c r="V37" s="87"/>
      <c r="W37" s="87"/>
      <c r="X37" s="87"/>
      <c r="Y37" s="87"/>
    </row>
    <row r="38" spans="2:25" ht="27" customHeight="1">
      <c r="B38" s="359" t="s">
        <v>65</v>
      </c>
      <c r="C38" s="358">
        <v>1</v>
      </c>
      <c r="D38" s="358">
        <v>10</v>
      </c>
      <c r="E38" s="359" t="s">
        <v>66</v>
      </c>
      <c r="F38" s="335" t="s">
        <v>67</v>
      </c>
      <c r="G38" s="335" t="s">
        <v>68</v>
      </c>
      <c r="H38" s="375" t="s">
        <v>34</v>
      </c>
      <c r="I38" s="358" t="s">
        <v>28</v>
      </c>
      <c r="J38" s="49"/>
      <c r="K38" s="358" t="s">
        <v>847</v>
      </c>
      <c r="L38" s="50"/>
      <c r="M38" s="371">
        <v>45482</v>
      </c>
      <c r="N38" s="349" t="s">
        <v>55</v>
      </c>
      <c r="O38" s="50"/>
      <c r="P38" s="371">
        <v>45482</v>
      </c>
      <c r="Q38" s="349">
        <v>0.72916666666666663</v>
      </c>
      <c r="R38" s="87"/>
      <c r="S38" s="87"/>
      <c r="T38" s="87"/>
      <c r="U38" s="87"/>
      <c r="V38" s="87"/>
      <c r="W38" s="87"/>
      <c r="X38" s="87"/>
      <c r="Y38" s="87"/>
    </row>
    <row r="39" spans="2:25" ht="27" customHeight="1">
      <c r="B39" s="359" t="s">
        <v>65</v>
      </c>
      <c r="C39" s="358">
        <v>2</v>
      </c>
      <c r="D39" s="358">
        <v>10</v>
      </c>
      <c r="E39" s="359" t="s">
        <v>66</v>
      </c>
      <c r="F39" s="335" t="s">
        <v>67</v>
      </c>
      <c r="G39" s="335" t="s">
        <v>68</v>
      </c>
      <c r="H39" s="375" t="s">
        <v>49</v>
      </c>
      <c r="I39" s="358" t="s">
        <v>28</v>
      </c>
      <c r="J39" s="49"/>
      <c r="K39" s="358" t="s">
        <v>847</v>
      </c>
      <c r="L39" s="50"/>
      <c r="M39" s="371">
        <v>45482</v>
      </c>
      <c r="N39" s="349" t="s">
        <v>55</v>
      </c>
      <c r="O39" s="50"/>
      <c r="P39" s="371">
        <v>45482</v>
      </c>
      <c r="Q39" s="349">
        <v>0.72916666666666663</v>
      </c>
      <c r="R39" s="87"/>
      <c r="S39" s="87"/>
      <c r="T39" s="87"/>
      <c r="U39" s="87"/>
      <c r="V39" s="87"/>
      <c r="W39" s="87"/>
      <c r="X39" s="87"/>
      <c r="Y39" s="87"/>
    </row>
    <row r="40" spans="2:25" ht="27" customHeight="1">
      <c r="B40" s="359" t="s">
        <v>65</v>
      </c>
      <c r="C40" s="358">
        <v>3</v>
      </c>
      <c r="D40" s="358">
        <v>10</v>
      </c>
      <c r="E40" s="359" t="s">
        <v>66</v>
      </c>
      <c r="F40" s="335" t="s">
        <v>69</v>
      </c>
      <c r="G40" s="335" t="s">
        <v>68</v>
      </c>
      <c r="H40" s="375" t="s">
        <v>38</v>
      </c>
      <c r="I40" s="358" t="s">
        <v>28</v>
      </c>
      <c r="J40" s="49"/>
      <c r="K40" s="358" t="s">
        <v>847</v>
      </c>
      <c r="L40" s="50"/>
      <c r="M40" s="371">
        <v>45482</v>
      </c>
      <c r="N40" s="349" t="s">
        <v>55</v>
      </c>
      <c r="O40" s="50"/>
      <c r="P40" s="371">
        <v>45482</v>
      </c>
      <c r="Q40" s="349">
        <v>0.72916666666666663</v>
      </c>
      <c r="R40" s="87"/>
      <c r="S40" s="87"/>
      <c r="T40" s="87"/>
      <c r="U40" s="87"/>
      <c r="V40" s="87"/>
      <c r="W40" s="87"/>
      <c r="X40" s="87"/>
      <c r="Y40" s="87"/>
    </row>
    <row r="41" spans="2:25" ht="27" customHeight="1">
      <c r="B41" s="359" t="s">
        <v>65</v>
      </c>
      <c r="C41" s="358">
        <v>4</v>
      </c>
      <c r="D41" s="358">
        <v>10</v>
      </c>
      <c r="E41" s="359" t="s">
        <v>66</v>
      </c>
      <c r="F41" s="335" t="s">
        <v>70</v>
      </c>
      <c r="G41" s="335" t="s">
        <v>68</v>
      </c>
      <c r="H41" s="375" t="s">
        <v>71</v>
      </c>
      <c r="I41" s="358" t="s">
        <v>28</v>
      </c>
      <c r="J41" s="49"/>
      <c r="K41" s="358" t="s">
        <v>847</v>
      </c>
      <c r="L41" s="50"/>
      <c r="M41" s="371">
        <v>45482</v>
      </c>
      <c r="N41" s="349" t="s">
        <v>55</v>
      </c>
      <c r="O41" s="50"/>
      <c r="P41" s="371">
        <v>45482</v>
      </c>
      <c r="Q41" s="349">
        <v>0.72916666666666663</v>
      </c>
      <c r="R41" s="87"/>
      <c r="S41" s="87"/>
      <c r="T41" s="87"/>
      <c r="U41" s="87"/>
      <c r="V41" s="87"/>
      <c r="W41" s="87"/>
      <c r="X41" s="87"/>
      <c r="Y41" s="87"/>
    </row>
    <row r="42" spans="2:25" ht="23">
      <c r="B42" s="422" t="s">
        <v>72</v>
      </c>
      <c r="C42" s="420">
        <v>1</v>
      </c>
      <c r="D42" s="420">
        <v>10</v>
      </c>
      <c r="E42" s="423" t="s">
        <v>73</v>
      </c>
      <c r="F42" s="423" t="s">
        <v>67</v>
      </c>
      <c r="G42" s="362" t="s">
        <v>74</v>
      </c>
      <c r="H42" s="424" t="s">
        <v>34</v>
      </c>
      <c r="I42" s="420" t="s">
        <v>28</v>
      </c>
      <c r="J42" s="421"/>
      <c r="K42" s="420" t="s">
        <v>847</v>
      </c>
      <c r="L42" s="421"/>
      <c r="M42" s="407">
        <v>45847</v>
      </c>
      <c r="N42" s="408" t="s">
        <v>55</v>
      </c>
      <c r="O42" s="421"/>
      <c r="P42" s="407">
        <v>45847</v>
      </c>
      <c r="Q42" s="408">
        <v>0.72916666666666663</v>
      </c>
      <c r="R42" s="87"/>
      <c r="S42" s="87"/>
      <c r="T42" s="87"/>
      <c r="U42" s="87"/>
      <c r="V42" s="87"/>
      <c r="W42" s="87"/>
      <c r="X42" s="87"/>
      <c r="Y42" s="87"/>
    </row>
    <row r="43" spans="2:25" ht="23">
      <c r="B43" s="422"/>
      <c r="C43" s="420"/>
      <c r="D43" s="420"/>
      <c r="E43" s="423"/>
      <c r="F43" s="423"/>
      <c r="G43" s="362" t="s">
        <v>75</v>
      </c>
      <c r="H43" s="424"/>
      <c r="I43" s="420"/>
      <c r="J43" s="421"/>
      <c r="K43" s="420"/>
      <c r="L43" s="421"/>
      <c r="M43" s="407"/>
      <c r="N43" s="408"/>
      <c r="O43" s="421"/>
      <c r="P43" s="407"/>
      <c r="Q43" s="408"/>
      <c r="R43" s="87"/>
      <c r="S43" s="87"/>
      <c r="T43" s="87"/>
      <c r="U43" s="87"/>
      <c r="V43" s="87"/>
      <c r="W43" s="87"/>
      <c r="X43" s="87"/>
      <c r="Y43" s="87"/>
    </row>
    <row r="44" spans="2:25" ht="23">
      <c r="B44" s="422" t="s">
        <v>72</v>
      </c>
      <c r="C44" s="420">
        <v>2</v>
      </c>
      <c r="D44" s="420">
        <v>10</v>
      </c>
      <c r="E44" s="423" t="s">
        <v>73</v>
      </c>
      <c r="F44" s="423" t="s">
        <v>67</v>
      </c>
      <c r="G44" s="362" t="s">
        <v>74</v>
      </c>
      <c r="H44" s="424" t="s">
        <v>49</v>
      </c>
      <c r="I44" s="420" t="s">
        <v>28</v>
      </c>
      <c r="J44" s="421"/>
      <c r="K44" s="420" t="s">
        <v>847</v>
      </c>
      <c r="L44" s="421"/>
      <c r="M44" s="407">
        <v>45847</v>
      </c>
      <c r="N44" s="408" t="s">
        <v>55</v>
      </c>
      <c r="O44" s="421"/>
      <c r="P44" s="407">
        <v>45847</v>
      </c>
      <c r="Q44" s="408">
        <v>0.72916666666666663</v>
      </c>
      <c r="R44" s="87"/>
      <c r="S44" s="87"/>
      <c r="T44" s="87"/>
      <c r="U44" s="87"/>
      <c r="V44" s="87"/>
      <c r="W44" s="87"/>
      <c r="X44" s="87"/>
      <c r="Y44" s="87"/>
    </row>
    <row r="45" spans="2:25" ht="23">
      <c r="B45" s="422"/>
      <c r="C45" s="420"/>
      <c r="D45" s="420"/>
      <c r="E45" s="423"/>
      <c r="F45" s="423"/>
      <c r="G45" s="362" t="s">
        <v>75</v>
      </c>
      <c r="H45" s="424"/>
      <c r="I45" s="420"/>
      <c r="J45" s="421"/>
      <c r="K45" s="420"/>
      <c r="L45" s="421"/>
      <c r="M45" s="407"/>
      <c r="N45" s="408"/>
      <c r="O45" s="421"/>
      <c r="P45" s="407"/>
      <c r="Q45" s="408"/>
      <c r="R45" s="87"/>
      <c r="S45" s="87"/>
      <c r="T45" s="87"/>
      <c r="U45" s="87"/>
      <c r="V45" s="87"/>
      <c r="W45" s="87"/>
      <c r="X45" s="87"/>
      <c r="Y45" s="87"/>
    </row>
    <row r="46" spans="2:25" ht="23">
      <c r="B46" s="422" t="s">
        <v>72</v>
      </c>
      <c r="C46" s="420">
        <v>3</v>
      </c>
      <c r="D46" s="420">
        <v>10</v>
      </c>
      <c r="E46" s="423" t="s">
        <v>73</v>
      </c>
      <c r="F46" s="423" t="s">
        <v>69</v>
      </c>
      <c r="G46" s="362" t="s">
        <v>74</v>
      </c>
      <c r="H46" s="424" t="s">
        <v>38</v>
      </c>
      <c r="I46" s="420" t="s">
        <v>28</v>
      </c>
      <c r="J46" s="421"/>
      <c r="K46" s="420" t="s">
        <v>847</v>
      </c>
      <c r="L46" s="421"/>
      <c r="M46" s="407">
        <v>45847</v>
      </c>
      <c r="N46" s="408" t="s">
        <v>55</v>
      </c>
      <c r="O46" s="421"/>
      <c r="P46" s="407">
        <v>45847</v>
      </c>
      <c r="Q46" s="408">
        <v>0.72916666666666663</v>
      </c>
      <c r="R46" s="87"/>
      <c r="S46" s="87"/>
      <c r="T46" s="87"/>
      <c r="U46" s="87"/>
      <c r="V46" s="87"/>
      <c r="W46" s="87"/>
      <c r="X46" s="87"/>
      <c r="Y46" s="87"/>
    </row>
    <row r="47" spans="2:25" ht="23">
      <c r="B47" s="422"/>
      <c r="C47" s="420"/>
      <c r="D47" s="420"/>
      <c r="E47" s="423"/>
      <c r="F47" s="423"/>
      <c r="G47" s="362" t="s">
        <v>75</v>
      </c>
      <c r="H47" s="424"/>
      <c r="I47" s="420"/>
      <c r="J47" s="421"/>
      <c r="K47" s="420"/>
      <c r="L47" s="421"/>
      <c r="M47" s="407"/>
      <c r="N47" s="408"/>
      <c r="O47" s="421"/>
      <c r="P47" s="407"/>
      <c r="Q47" s="408"/>
      <c r="R47" s="87"/>
      <c r="S47" s="87"/>
      <c r="T47" s="87"/>
      <c r="U47" s="87"/>
      <c r="V47" s="87"/>
      <c r="W47" s="87"/>
      <c r="X47" s="87"/>
      <c r="Y47" s="87"/>
    </row>
    <row r="48" spans="2:25" ht="23">
      <c r="B48" s="422" t="s">
        <v>72</v>
      </c>
      <c r="C48" s="420">
        <v>4</v>
      </c>
      <c r="D48" s="420">
        <v>10</v>
      </c>
      <c r="E48" s="423" t="s">
        <v>73</v>
      </c>
      <c r="F48" s="423" t="s">
        <v>70</v>
      </c>
      <c r="G48" s="362" t="s">
        <v>74</v>
      </c>
      <c r="H48" s="424" t="s">
        <v>71</v>
      </c>
      <c r="I48" s="420" t="s">
        <v>28</v>
      </c>
      <c r="J48" s="421"/>
      <c r="K48" s="420" t="s">
        <v>847</v>
      </c>
      <c r="L48" s="421"/>
      <c r="M48" s="407">
        <v>45847</v>
      </c>
      <c r="N48" s="408" t="s">
        <v>55</v>
      </c>
      <c r="O48" s="421"/>
      <c r="P48" s="407">
        <v>45847</v>
      </c>
      <c r="Q48" s="408">
        <v>0.72916666666666663</v>
      </c>
      <c r="R48" s="87"/>
      <c r="S48" s="87"/>
      <c r="T48" s="87"/>
      <c r="U48" s="87"/>
      <c r="V48" s="87"/>
      <c r="W48" s="87"/>
      <c r="X48" s="87"/>
      <c r="Y48" s="87"/>
    </row>
    <row r="49" spans="2:25" ht="25.5" customHeight="1">
      <c r="B49" s="422"/>
      <c r="C49" s="420"/>
      <c r="D49" s="420"/>
      <c r="E49" s="423"/>
      <c r="F49" s="423"/>
      <c r="G49" s="362" t="s">
        <v>75</v>
      </c>
      <c r="H49" s="424"/>
      <c r="I49" s="420"/>
      <c r="J49" s="421"/>
      <c r="K49" s="420"/>
      <c r="L49" s="421"/>
      <c r="M49" s="407"/>
      <c r="N49" s="408"/>
      <c r="O49" s="421"/>
      <c r="P49" s="407"/>
      <c r="Q49" s="408"/>
      <c r="R49" s="87"/>
      <c r="S49" s="87"/>
      <c r="T49" s="87"/>
      <c r="U49" s="87"/>
      <c r="V49" s="87"/>
      <c r="W49" s="87"/>
      <c r="X49" s="87"/>
      <c r="Y49" s="87"/>
    </row>
    <row r="50" spans="2:25" ht="27" customHeight="1">
      <c r="B50" s="44" t="s">
        <v>76</v>
      </c>
      <c r="C50" s="59">
        <v>1</v>
      </c>
      <c r="D50" s="59">
        <v>10</v>
      </c>
      <c r="E50" s="44" t="s">
        <v>77</v>
      </c>
      <c r="F50" s="44" t="s">
        <v>78</v>
      </c>
      <c r="G50" s="400" t="s">
        <v>60</v>
      </c>
      <c r="H50" s="59" t="s">
        <v>79</v>
      </c>
      <c r="I50" s="59" t="s">
        <v>80</v>
      </c>
      <c r="J50" s="49"/>
      <c r="K50" s="59" t="s">
        <v>848</v>
      </c>
      <c r="L50" s="50"/>
      <c r="M50" s="291">
        <v>45475</v>
      </c>
      <c r="N50" s="59" t="s">
        <v>29</v>
      </c>
      <c r="O50" s="50"/>
      <c r="P50" s="291">
        <v>45475</v>
      </c>
      <c r="Q50" s="289">
        <v>0.72916666666666663</v>
      </c>
      <c r="R50" s="87"/>
      <c r="S50" s="87"/>
      <c r="T50" s="87"/>
      <c r="U50" s="87"/>
      <c r="V50" s="87"/>
      <c r="W50" s="87"/>
      <c r="X50" s="87"/>
      <c r="Y50" s="87"/>
    </row>
    <row r="51" spans="2:25" ht="27" customHeight="1">
      <c r="B51" s="44" t="s">
        <v>76</v>
      </c>
      <c r="C51" s="59">
        <v>2</v>
      </c>
      <c r="D51" s="59">
        <v>10</v>
      </c>
      <c r="E51" s="44" t="s">
        <v>77</v>
      </c>
      <c r="F51" s="44" t="s">
        <v>78</v>
      </c>
      <c r="G51" s="400" t="s">
        <v>60</v>
      </c>
      <c r="H51" s="59" t="s">
        <v>81</v>
      </c>
      <c r="I51" s="59" t="s">
        <v>80</v>
      </c>
      <c r="J51" s="49"/>
      <c r="K51" s="59" t="s">
        <v>848</v>
      </c>
      <c r="L51" s="50"/>
      <c r="M51" s="291">
        <v>45475</v>
      </c>
      <c r="N51" s="59" t="s">
        <v>29</v>
      </c>
      <c r="O51" s="50"/>
      <c r="P51" s="291">
        <v>45475</v>
      </c>
      <c r="Q51" s="289">
        <v>0.72916666666666663</v>
      </c>
      <c r="R51" s="87"/>
      <c r="S51" s="87"/>
      <c r="T51" s="87"/>
      <c r="U51" s="87"/>
      <c r="V51" s="87"/>
      <c r="W51" s="87"/>
      <c r="X51" s="87"/>
      <c r="Y51" s="87"/>
    </row>
    <row r="52" spans="2:25" ht="27" customHeight="1">
      <c r="B52" s="44" t="s">
        <v>76</v>
      </c>
      <c r="C52" s="59">
        <v>3</v>
      </c>
      <c r="D52" s="59">
        <v>10</v>
      </c>
      <c r="E52" s="44" t="s">
        <v>77</v>
      </c>
      <c r="F52" s="42" t="s">
        <v>82</v>
      </c>
      <c r="G52" s="400" t="s">
        <v>60</v>
      </c>
      <c r="H52" s="59" t="s">
        <v>83</v>
      </c>
      <c r="I52" s="59" t="s">
        <v>80</v>
      </c>
      <c r="J52" s="49"/>
      <c r="K52" s="59" t="s">
        <v>848</v>
      </c>
      <c r="L52" s="50"/>
      <c r="M52" s="291">
        <v>45475</v>
      </c>
      <c r="N52" s="59" t="s">
        <v>29</v>
      </c>
      <c r="O52" s="50"/>
      <c r="P52" s="291">
        <v>45475</v>
      </c>
      <c r="Q52" s="289">
        <v>0.72916666666666663</v>
      </c>
      <c r="R52" s="87"/>
      <c r="S52" s="87"/>
      <c r="T52" s="87"/>
      <c r="U52" s="87"/>
      <c r="V52" s="87"/>
      <c r="W52" s="87"/>
      <c r="X52" s="87"/>
      <c r="Y52" s="87"/>
    </row>
    <row r="53" spans="2:25" ht="27" customHeight="1">
      <c r="B53" s="44" t="s">
        <v>76</v>
      </c>
      <c r="C53" s="59">
        <v>4</v>
      </c>
      <c r="D53" s="59">
        <v>10</v>
      </c>
      <c r="E53" s="44" t="s">
        <v>77</v>
      </c>
      <c r="F53" s="42" t="s">
        <v>82</v>
      </c>
      <c r="G53" s="400" t="s">
        <v>60</v>
      </c>
      <c r="H53" s="59" t="s">
        <v>84</v>
      </c>
      <c r="I53" s="59" t="s">
        <v>80</v>
      </c>
      <c r="J53" s="49"/>
      <c r="K53" s="59" t="s">
        <v>848</v>
      </c>
      <c r="L53" s="50"/>
      <c r="M53" s="291">
        <v>45475</v>
      </c>
      <c r="N53" s="59" t="s">
        <v>29</v>
      </c>
      <c r="O53" s="50"/>
      <c r="P53" s="291">
        <v>45475</v>
      </c>
      <c r="Q53" s="289">
        <v>0.72916666666666663</v>
      </c>
      <c r="R53" s="87"/>
      <c r="S53" s="87"/>
      <c r="T53" s="87"/>
      <c r="U53" s="87"/>
      <c r="V53" s="87"/>
      <c r="W53" s="87"/>
      <c r="X53" s="87"/>
      <c r="Y53" s="87"/>
    </row>
    <row r="54" spans="2:25" ht="27" customHeight="1">
      <c r="B54" s="359" t="s">
        <v>85</v>
      </c>
      <c r="C54" s="358">
        <v>1</v>
      </c>
      <c r="D54" s="358">
        <v>10</v>
      </c>
      <c r="E54" s="359" t="s">
        <v>86</v>
      </c>
      <c r="F54" s="335" t="s">
        <v>87</v>
      </c>
      <c r="G54" s="335" t="s">
        <v>88</v>
      </c>
      <c r="H54" s="375" t="s">
        <v>36</v>
      </c>
      <c r="I54" s="358" t="s">
        <v>28</v>
      </c>
      <c r="J54" s="49"/>
      <c r="K54" s="358" t="s">
        <v>847</v>
      </c>
      <c r="L54" s="50"/>
      <c r="M54" s="371">
        <v>45847</v>
      </c>
      <c r="N54" s="349" t="s">
        <v>29</v>
      </c>
      <c r="O54" s="50"/>
      <c r="P54" s="371">
        <v>45847</v>
      </c>
      <c r="Q54" s="349">
        <v>0.72916666666666663</v>
      </c>
      <c r="R54" s="87"/>
      <c r="S54" s="87"/>
      <c r="T54" s="87"/>
      <c r="U54" s="87"/>
      <c r="V54" s="87"/>
      <c r="W54" s="87"/>
      <c r="X54" s="87"/>
      <c r="Y54" s="87"/>
    </row>
    <row r="55" spans="2:25" ht="27" customHeight="1">
      <c r="B55" s="359" t="s">
        <v>85</v>
      </c>
      <c r="C55" s="358">
        <v>2</v>
      </c>
      <c r="D55" s="358">
        <v>10</v>
      </c>
      <c r="E55" s="359" t="s">
        <v>86</v>
      </c>
      <c r="F55" s="335" t="s">
        <v>82</v>
      </c>
      <c r="G55" s="335" t="s">
        <v>88</v>
      </c>
      <c r="H55" s="375" t="s">
        <v>48</v>
      </c>
      <c r="I55" s="358" t="s">
        <v>28</v>
      </c>
      <c r="J55" s="49"/>
      <c r="K55" s="358" t="s">
        <v>847</v>
      </c>
      <c r="L55" s="50"/>
      <c r="M55" s="371">
        <v>45847</v>
      </c>
      <c r="N55" s="349" t="s">
        <v>29</v>
      </c>
      <c r="O55" s="50"/>
      <c r="P55" s="371">
        <v>45847</v>
      </c>
      <c r="Q55" s="349">
        <v>0.72916666666666663</v>
      </c>
      <c r="R55" s="87"/>
      <c r="S55" s="87"/>
      <c r="T55" s="87"/>
      <c r="U55" s="87"/>
      <c r="V55" s="87"/>
      <c r="W55" s="87"/>
      <c r="X55" s="87"/>
      <c r="Y55" s="87"/>
    </row>
    <row r="56" spans="2:25" ht="27" customHeight="1">
      <c r="B56" s="359" t="s">
        <v>85</v>
      </c>
      <c r="C56" s="358">
        <v>3</v>
      </c>
      <c r="D56" s="358">
        <v>10</v>
      </c>
      <c r="E56" s="359" t="s">
        <v>86</v>
      </c>
      <c r="F56" s="335" t="s">
        <v>82</v>
      </c>
      <c r="G56" s="335" t="s">
        <v>88</v>
      </c>
      <c r="H56" s="375" t="s">
        <v>49</v>
      </c>
      <c r="I56" s="358" t="s">
        <v>28</v>
      </c>
      <c r="J56" s="49"/>
      <c r="K56" s="358" t="s">
        <v>847</v>
      </c>
      <c r="L56" s="50"/>
      <c r="M56" s="371">
        <v>45847</v>
      </c>
      <c r="N56" s="349" t="s">
        <v>29</v>
      </c>
      <c r="O56" s="50"/>
      <c r="P56" s="371">
        <v>45847</v>
      </c>
      <c r="Q56" s="349">
        <v>0.72916666666666663</v>
      </c>
      <c r="R56" s="87"/>
      <c r="S56" s="87"/>
      <c r="T56" s="87"/>
      <c r="U56" s="87"/>
      <c r="V56" s="87"/>
      <c r="W56" s="87"/>
      <c r="X56" s="87"/>
      <c r="Y56" s="87"/>
    </row>
    <row r="57" spans="2:25" ht="27" customHeight="1">
      <c r="B57" s="359" t="s">
        <v>85</v>
      </c>
      <c r="C57" s="358">
        <v>4</v>
      </c>
      <c r="D57" s="358">
        <v>10</v>
      </c>
      <c r="E57" s="359" t="s">
        <v>86</v>
      </c>
      <c r="F57" s="335" t="s">
        <v>89</v>
      </c>
      <c r="G57" s="335" t="s">
        <v>88</v>
      </c>
      <c r="H57" s="375" t="s">
        <v>44</v>
      </c>
      <c r="I57" s="358" t="s">
        <v>28</v>
      </c>
      <c r="J57" s="49"/>
      <c r="K57" s="358" t="s">
        <v>847</v>
      </c>
      <c r="L57" s="50"/>
      <c r="M57" s="371">
        <v>45847</v>
      </c>
      <c r="N57" s="349" t="s">
        <v>29</v>
      </c>
      <c r="O57" s="50"/>
      <c r="P57" s="371">
        <v>45847</v>
      </c>
      <c r="Q57" s="349">
        <v>0.72916666666666663</v>
      </c>
      <c r="R57" s="87"/>
      <c r="S57" s="87"/>
      <c r="T57" s="87"/>
      <c r="U57" s="87"/>
      <c r="V57" s="87"/>
      <c r="W57" s="87"/>
      <c r="X57" s="87"/>
      <c r="Y57" s="87"/>
    </row>
    <row r="58" spans="2:25" ht="27" customHeight="1">
      <c r="B58" s="359" t="s">
        <v>90</v>
      </c>
      <c r="C58" s="358">
        <v>1</v>
      </c>
      <c r="D58" s="358">
        <v>10</v>
      </c>
      <c r="E58" s="359" t="s">
        <v>86</v>
      </c>
      <c r="F58" s="335" t="s">
        <v>87</v>
      </c>
      <c r="G58" s="335" t="s">
        <v>91</v>
      </c>
      <c r="H58" s="375" t="s">
        <v>36</v>
      </c>
      <c r="I58" s="358" t="s">
        <v>28</v>
      </c>
      <c r="J58" s="49"/>
      <c r="K58" s="358" t="s">
        <v>847</v>
      </c>
      <c r="L58" s="50"/>
      <c r="M58" s="371">
        <v>45847</v>
      </c>
      <c r="N58" s="349" t="s">
        <v>29</v>
      </c>
      <c r="O58" s="50"/>
      <c r="P58" s="371">
        <v>45847</v>
      </c>
      <c r="Q58" s="349">
        <v>0.72916666666666663</v>
      </c>
      <c r="R58" s="87"/>
      <c r="S58" s="87"/>
      <c r="T58" s="87"/>
      <c r="U58" s="87"/>
      <c r="V58" s="87"/>
      <c r="W58" s="87"/>
      <c r="X58" s="87"/>
      <c r="Y58" s="87"/>
    </row>
    <row r="59" spans="2:25" ht="27" customHeight="1">
      <c r="B59" s="359" t="s">
        <v>90</v>
      </c>
      <c r="C59" s="358">
        <v>2</v>
      </c>
      <c r="D59" s="358">
        <v>10</v>
      </c>
      <c r="E59" s="359" t="s">
        <v>86</v>
      </c>
      <c r="F59" s="335" t="s">
        <v>82</v>
      </c>
      <c r="G59" s="335" t="s">
        <v>91</v>
      </c>
      <c r="H59" s="375" t="s">
        <v>48</v>
      </c>
      <c r="I59" s="358" t="s">
        <v>28</v>
      </c>
      <c r="J59" s="49"/>
      <c r="K59" s="358" t="s">
        <v>847</v>
      </c>
      <c r="L59" s="50"/>
      <c r="M59" s="371">
        <v>45847</v>
      </c>
      <c r="N59" s="349" t="s">
        <v>29</v>
      </c>
      <c r="O59" s="50"/>
      <c r="P59" s="371">
        <v>45847</v>
      </c>
      <c r="Q59" s="349">
        <v>0.72916666666666663</v>
      </c>
      <c r="R59" s="87"/>
      <c r="S59" s="87"/>
      <c r="T59" s="87"/>
      <c r="U59" s="87"/>
      <c r="V59" s="87"/>
      <c r="W59" s="87"/>
      <c r="X59" s="87"/>
      <c r="Y59" s="87"/>
    </row>
    <row r="60" spans="2:25" ht="27" customHeight="1">
      <c r="B60" s="359" t="s">
        <v>90</v>
      </c>
      <c r="C60" s="358">
        <v>3</v>
      </c>
      <c r="D60" s="358">
        <v>10</v>
      </c>
      <c r="E60" s="359" t="s">
        <v>86</v>
      </c>
      <c r="F60" s="335" t="s">
        <v>82</v>
      </c>
      <c r="G60" s="335" t="s">
        <v>91</v>
      </c>
      <c r="H60" s="375" t="s">
        <v>49</v>
      </c>
      <c r="I60" s="358" t="s">
        <v>28</v>
      </c>
      <c r="J60" s="49"/>
      <c r="K60" s="358" t="s">
        <v>847</v>
      </c>
      <c r="L60" s="50"/>
      <c r="M60" s="371">
        <v>45847</v>
      </c>
      <c r="N60" s="349" t="s">
        <v>29</v>
      </c>
      <c r="O60" s="50"/>
      <c r="P60" s="371">
        <v>45847</v>
      </c>
      <c r="Q60" s="349">
        <v>0.72916666666666663</v>
      </c>
      <c r="R60" s="87"/>
      <c r="S60" s="87"/>
      <c r="T60" s="87"/>
      <c r="U60" s="87"/>
      <c r="V60" s="87"/>
      <c r="W60" s="87"/>
      <c r="X60" s="87"/>
      <c r="Y60" s="87"/>
    </row>
    <row r="61" spans="2:25" ht="27" customHeight="1">
      <c r="B61" s="359" t="s">
        <v>90</v>
      </c>
      <c r="C61" s="358">
        <v>4</v>
      </c>
      <c r="D61" s="358">
        <v>10</v>
      </c>
      <c r="E61" s="359" t="s">
        <v>86</v>
      </c>
      <c r="F61" s="335" t="s">
        <v>89</v>
      </c>
      <c r="G61" s="335" t="s">
        <v>91</v>
      </c>
      <c r="H61" s="375" t="s">
        <v>44</v>
      </c>
      <c r="I61" s="358" t="s">
        <v>28</v>
      </c>
      <c r="J61" s="49"/>
      <c r="K61" s="358" t="s">
        <v>847</v>
      </c>
      <c r="L61" s="50"/>
      <c r="M61" s="371">
        <v>45847</v>
      </c>
      <c r="N61" s="349" t="s">
        <v>29</v>
      </c>
      <c r="O61" s="50"/>
      <c r="P61" s="371">
        <v>45847</v>
      </c>
      <c r="Q61" s="349">
        <v>0.72916666666666663</v>
      </c>
      <c r="R61" s="87"/>
      <c r="S61" s="87"/>
      <c r="T61" s="87"/>
      <c r="U61" s="87"/>
      <c r="V61" s="87"/>
      <c r="W61" s="87"/>
      <c r="X61" s="87"/>
      <c r="Y61" s="87"/>
    </row>
    <row r="62" spans="2:25" ht="27" customHeight="1">
      <c r="B62" s="44" t="s">
        <v>92</v>
      </c>
      <c r="C62" s="59">
        <v>1</v>
      </c>
      <c r="D62" s="59">
        <v>10</v>
      </c>
      <c r="E62" s="44" t="s">
        <v>93</v>
      </c>
      <c r="F62" s="42" t="s">
        <v>94</v>
      </c>
      <c r="G62" s="379" t="s">
        <v>95</v>
      </c>
      <c r="H62" s="59" t="s">
        <v>31</v>
      </c>
      <c r="I62" s="59" t="s">
        <v>96</v>
      </c>
      <c r="J62" s="49"/>
      <c r="K62" s="59" t="s">
        <v>845</v>
      </c>
      <c r="L62" s="50"/>
      <c r="M62" s="291">
        <v>45477</v>
      </c>
      <c r="N62" s="289" t="s">
        <v>29</v>
      </c>
      <c r="O62" s="50"/>
      <c r="P62" s="291">
        <v>45477</v>
      </c>
      <c r="Q62" s="289">
        <v>0.5</v>
      </c>
      <c r="R62" s="87"/>
      <c r="S62" s="87"/>
      <c r="T62" s="87"/>
      <c r="U62" s="87"/>
      <c r="V62" s="87"/>
      <c r="W62" s="87"/>
      <c r="X62" s="87"/>
      <c r="Y62" s="87"/>
    </row>
    <row r="63" spans="2:25" ht="27" customHeight="1">
      <c r="B63" s="44" t="s">
        <v>92</v>
      </c>
      <c r="C63" s="59">
        <v>2</v>
      </c>
      <c r="D63" s="59">
        <v>10</v>
      </c>
      <c r="E63" s="44" t="s">
        <v>93</v>
      </c>
      <c r="F63" s="42" t="s">
        <v>97</v>
      </c>
      <c r="G63" s="379" t="s">
        <v>95</v>
      </c>
      <c r="H63" s="59" t="s">
        <v>36</v>
      </c>
      <c r="I63" s="59" t="s">
        <v>96</v>
      </c>
      <c r="J63" s="49"/>
      <c r="K63" s="59" t="s">
        <v>845</v>
      </c>
      <c r="L63" s="50"/>
      <c r="M63" s="291">
        <v>45477</v>
      </c>
      <c r="N63" s="289" t="s">
        <v>29</v>
      </c>
      <c r="O63" s="50"/>
      <c r="P63" s="291">
        <v>45477</v>
      </c>
      <c r="Q63" s="289">
        <v>0.5</v>
      </c>
      <c r="R63" s="87"/>
      <c r="S63" s="87"/>
      <c r="T63" s="87"/>
      <c r="U63" s="87"/>
      <c r="V63" s="87"/>
      <c r="W63" s="87"/>
      <c r="X63" s="87"/>
      <c r="Y63" s="87"/>
    </row>
    <row r="64" spans="2:25" ht="27" customHeight="1">
      <c r="B64" s="44" t="s">
        <v>92</v>
      </c>
      <c r="C64" s="59">
        <v>3</v>
      </c>
      <c r="D64" s="59">
        <v>10</v>
      </c>
      <c r="E64" s="44" t="s">
        <v>93</v>
      </c>
      <c r="F64" s="42" t="s">
        <v>98</v>
      </c>
      <c r="G64" s="379" t="s">
        <v>95</v>
      </c>
      <c r="H64" s="59" t="s">
        <v>27</v>
      </c>
      <c r="I64" s="59" t="s">
        <v>96</v>
      </c>
      <c r="J64" s="49"/>
      <c r="K64" s="59" t="s">
        <v>845</v>
      </c>
      <c r="L64" s="50"/>
      <c r="M64" s="291">
        <v>45477</v>
      </c>
      <c r="N64" s="289" t="s">
        <v>29</v>
      </c>
      <c r="O64" s="50"/>
      <c r="P64" s="291">
        <v>45477</v>
      </c>
      <c r="Q64" s="289">
        <v>0.5</v>
      </c>
      <c r="R64" s="87"/>
      <c r="S64" s="87"/>
      <c r="T64" s="87"/>
      <c r="U64" s="87"/>
      <c r="V64" s="87"/>
      <c r="W64" s="87"/>
      <c r="X64" s="87"/>
      <c r="Y64" s="87"/>
    </row>
    <row r="65" spans="2:25" ht="27" customHeight="1">
      <c r="B65" s="44" t="s">
        <v>92</v>
      </c>
      <c r="C65" s="59">
        <v>4</v>
      </c>
      <c r="D65" s="59">
        <v>10</v>
      </c>
      <c r="E65" s="44" t="s">
        <v>93</v>
      </c>
      <c r="F65" s="42" t="s">
        <v>99</v>
      </c>
      <c r="G65" s="379" t="s">
        <v>95</v>
      </c>
      <c r="H65" s="59" t="s">
        <v>27</v>
      </c>
      <c r="I65" s="59" t="s">
        <v>96</v>
      </c>
      <c r="J65" s="49"/>
      <c r="K65" s="59" t="s">
        <v>845</v>
      </c>
      <c r="L65" s="50"/>
      <c r="M65" s="291">
        <v>45477</v>
      </c>
      <c r="N65" s="289" t="s">
        <v>29</v>
      </c>
      <c r="O65" s="50"/>
      <c r="P65" s="291">
        <v>45477</v>
      </c>
      <c r="Q65" s="289">
        <v>0.5</v>
      </c>
      <c r="R65" s="87"/>
      <c r="S65" s="87"/>
      <c r="T65" s="87"/>
      <c r="U65" s="87"/>
      <c r="V65" s="87"/>
      <c r="W65" s="87"/>
      <c r="X65" s="87"/>
      <c r="Y65" s="87"/>
    </row>
    <row r="66" spans="2:25" ht="27" customHeight="1">
      <c r="B66" s="359" t="s">
        <v>100</v>
      </c>
      <c r="C66" s="358">
        <v>1</v>
      </c>
      <c r="D66" s="358">
        <v>10</v>
      </c>
      <c r="E66" s="359" t="s">
        <v>101</v>
      </c>
      <c r="F66" s="335" t="s">
        <v>102</v>
      </c>
      <c r="G66" s="335" t="s">
        <v>103</v>
      </c>
      <c r="H66" s="375" t="s">
        <v>36</v>
      </c>
      <c r="I66" s="358" t="s">
        <v>96</v>
      </c>
      <c r="J66" s="49"/>
      <c r="K66" s="358" t="s">
        <v>849</v>
      </c>
      <c r="L66" s="50"/>
      <c r="M66" s="371">
        <v>45481</v>
      </c>
      <c r="N66" s="349" t="s">
        <v>29</v>
      </c>
      <c r="O66" s="50"/>
      <c r="P66" s="371">
        <v>45481</v>
      </c>
      <c r="Q66" s="349">
        <v>0.72916666666666663</v>
      </c>
      <c r="R66" s="87"/>
      <c r="S66" s="87"/>
      <c r="T66" s="87"/>
      <c r="U66" s="87"/>
      <c r="V66" s="87"/>
      <c r="W66" s="87"/>
      <c r="X66" s="87"/>
      <c r="Y66" s="87"/>
    </row>
    <row r="67" spans="2:25" ht="27" customHeight="1">
      <c r="B67" s="359" t="s">
        <v>100</v>
      </c>
      <c r="C67" s="358">
        <v>2</v>
      </c>
      <c r="D67" s="358">
        <v>10</v>
      </c>
      <c r="E67" s="359" t="s">
        <v>101</v>
      </c>
      <c r="F67" s="335" t="s">
        <v>102</v>
      </c>
      <c r="G67" s="335" t="s">
        <v>103</v>
      </c>
      <c r="H67" s="375" t="s">
        <v>31</v>
      </c>
      <c r="I67" s="358" t="s">
        <v>96</v>
      </c>
      <c r="J67" s="49"/>
      <c r="K67" s="358" t="s">
        <v>849</v>
      </c>
      <c r="L67" s="50"/>
      <c r="M67" s="371">
        <v>45481</v>
      </c>
      <c r="N67" s="349" t="s">
        <v>29</v>
      </c>
      <c r="O67" s="50"/>
      <c r="P67" s="371">
        <v>45481</v>
      </c>
      <c r="Q67" s="349">
        <v>0.72916666666666663</v>
      </c>
      <c r="R67" s="87"/>
      <c r="S67" s="87"/>
      <c r="T67" s="87"/>
      <c r="U67" s="87"/>
      <c r="V67" s="87"/>
      <c r="W67" s="87"/>
      <c r="X67" s="87"/>
      <c r="Y67" s="87"/>
    </row>
    <row r="68" spans="2:25" ht="27" customHeight="1">
      <c r="B68" s="359" t="s">
        <v>100</v>
      </c>
      <c r="C68" s="358">
        <v>3</v>
      </c>
      <c r="D68" s="358">
        <v>10</v>
      </c>
      <c r="E68" s="359" t="s">
        <v>101</v>
      </c>
      <c r="F68" s="335" t="s">
        <v>104</v>
      </c>
      <c r="G68" s="335" t="s">
        <v>103</v>
      </c>
      <c r="H68" s="375" t="s">
        <v>49</v>
      </c>
      <c r="I68" s="358" t="s">
        <v>96</v>
      </c>
      <c r="J68" s="49"/>
      <c r="K68" s="358" t="s">
        <v>849</v>
      </c>
      <c r="L68" s="50"/>
      <c r="M68" s="371">
        <v>45481</v>
      </c>
      <c r="N68" s="349" t="s">
        <v>29</v>
      </c>
      <c r="O68" s="50"/>
      <c r="P68" s="371">
        <v>45481</v>
      </c>
      <c r="Q68" s="349">
        <v>0.72916666666666663</v>
      </c>
      <c r="R68" s="87"/>
      <c r="S68" s="87"/>
      <c r="T68" s="87"/>
      <c r="U68" s="87"/>
      <c r="V68" s="87"/>
      <c r="W68" s="87"/>
      <c r="X68" s="87"/>
      <c r="Y68" s="87"/>
    </row>
    <row r="69" spans="2:25" ht="27" customHeight="1">
      <c r="B69" s="44" t="s">
        <v>60</v>
      </c>
      <c r="C69" s="59">
        <v>1</v>
      </c>
      <c r="D69" s="59">
        <v>10</v>
      </c>
      <c r="E69" s="44" t="s">
        <v>105</v>
      </c>
      <c r="F69" s="220" t="s">
        <v>106</v>
      </c>
      <c r="G69" s="197" t="s">
        <v>107</v>
      </c>
      <c r="H69" s="59" t="s">
        <v>49</v>
      </c>
      <c r="I69" s="59" t="s">
        <v>80</v>
      </c>
      <c r="J69" s="49"/>
      <c r="K69" s="59" t="s">
        <v>846</v>
      </c>
      <c r="L69" s="50"/>
      <c r="M69" s="291">
        <v>45475</v>
      </c>
      <c r="N69" s="289" t="s">
        <v>29</v>
      </c>
      <c r="O69" s="50"/>
      <c r="P69" s="291">
        <v>45475</v>
      </c>
      <c r="Q69" s="289">
        <v>0.72916666666666663</v>
      </c>
      <c r="R69" s="87"/>
      <c r="S69" s="87"/>
      <c r="T69" s="87"/>
      <c r="U69" s="87"/>
      <c r="V69" s="87"/>
      <c r="W69" s="87"/>
      <c r="X69" s="87"/>
      <c r="Y69" s="87"/>
    </row>
    <row r="70" spans="2:25" ht="27" customHeight="1">
      <c r="B70" s="44" t="s">
        <v>60</v>
      </c>
      <c r="C70" s="59">
        <v>2</v>
      </c>
      <c r="D70" s="59">
        <v>10</v>
      </c>
      <c r="E70" s="44" t="s">
        <v>105</v>
      </c>
      <c r="F70" s="220" t="s">
        <v>106</v>
      </c>
      <c r="G70" s="197" t="s">
        <v>107</v>
      </c>
      <c r="H70" s="59" t="s">
        <v>47</v>
      </c>
      <c r="I70" s="59" t="s">
        <v>80</v>
      </c>
      <c r="J70" s="49"/>
      <c r="K70" s="59" t="s">
        <v>846</v>
      </c>
      <c r="L70" s="50"/>
      <c r="M70" s="291">
        <v>45475</v>
      </c>
      <c r="N70" s="289" t="s">
        <v>29</v>
      </c>
      <c r="O70" s="50"/>
      <c r="P70" s="291">
        <v>45475</v>
      </c>
      <c r="Q70" s="289">
        <v>0.72916666666666663</v>
      </c>
      <c r="R70" s="87"/>
      <c r="S70" s="87"/>
      <c r="T70" s="87"/>
      <c r="U70" s="87"/>
      <c r="V70" s="87"/>
      <c r="W70" s="87"/>
      <c r="X70" s="87"/>
      <c r="Y70" s="87"/>
    </row>
    <row r="71" spans="2:25" ht="27" customHeight="1">
      <c r="B71" s="44" t="s">
        <v>60</v>
      </c>
      <c r="C71" s="59">
        <v>3</v>
      </c>
      <c r="D71" s="59">
        <v>10</v>
      </c>
      <c r="E71" s="44" t="s">
        <v>105</v>
      </c>
      <c r="F71" s="220" t="s">
        <v>108</v>
      </c>
      <c r="G71" s="197" t="s">
        <v>107</v>
      </c>
      <c r="H71" s="59" t="s">
        <v>71</v>
      </c>
      <c r="I71" s="59" t="s">
        <v>80</v>
      </c>
      <c r="J71" s="49"/>
      <c r="K71" s="59" t="s">
        <v>846</v>
      </c>
      <c r="L71" s="50"/>
      <c r="M71" s="291">
        <v>45475</v>
      </c>
      <c r="N71" s="289" t="s">
        <v>29</v>
      </c>
      <c r="O71" s="50"/>
      <c r="P71" s="291">
        <v>45475</v>
      </c>
      <c r="Q71" s="289">
        <v>0.72916666666666663</v>
      </c>
      <c r="R71" s="87"/>
      <c r="S71" s="87"/>
      <c r="T71" s="87"/>
      <c r="U71" s="87"/>
      <c r="V71" s="87"/>
      <c r="W71" s="87"/>
      <c r="X71" s="87"/>
      <c r="Y71" s="87"/>
    </row>
    <row r="72" spans="2:25" ht="27" customHeight="1">
      <c r="B72" s="359" t="s">
        <v>109</v>
      </c>
      <c r="C72" s="358">
        <v>1</v>
      </c>
      <c r="D72" s="358">
        <v>10</v>
      </c>
      <c r="E72" s="359" t="s">
        <v>110</v>
      </c>
      <c r="F72" s="335" t="s">
        <v>111</v>
      </c>
      <c r="G72" s="335" t="s">
        <v>112</v>
      </c>
      <c r="H72" s="375" t="s">
        <v>27</v>
      </c>
      <c r="I72" s="358" t="s">
        <v>113</v>
      </c>
      <c r="J72" s="49"/>
      <c r="K72" s="358" t="s">
        <v>850</v>
      </c>
      <c r="L72" s="50"/>
      <c r="M72" s="371">
        <v>45476</v>
      </c>
      <c r="N72" s="349" t="s">
        <v>29</v>
      </c>
      <c r="O72" s="50"/>
      <c r="P72" s="371">
        <v>45476</v>
      </c>
      <c r="Q72" s="349">
        <v>0.72916666666666663</v>
      </c>
      <c r="R72" s="87"/>
      <c r="S72" s="87"/>
      <c r="T72" s="87"/>
      <c r="U72" s="87"/>
      <c r="V72" s="87"/>
      <c r="W72" s="87"/>
      <c r="X72" s="87"/>
      <c r="Y72" s="87"/>
    </row>
    <row r="73" spans="2:25" ht="27" customHeight="1">
      <c r="B73" s="359" t="s">
        <v>109</v>
      </c>
      <c r="C73" s="358">
        <v>2</v>
      </c>
      <c r="D73" s="358">
        <v>10</v>
      </c>
      <c r="E73" s="359" t="s">
        <v>110</v>
      </c>
      <c r="F73" s="335" t="s">
        <v>111</v>
      </c>
      <c r="G73" s="335" t="s">
        <v>112</v>
      </c>
      <c r="H73" s="375" t="s">
        <v>36</v>
      </c>
      <c r="I73" s="358" t="s">
        <v>113</v>
      </c>
      <c r="J73" s="49"/>
      <c r="K73" s="358" t="s">
        <v>850</v>
      </c>
      <c r="L73" s="50"/>
      <c r="M73" s="371">
        <v>45476</v>
      </c>
      <c r="N73" s="349" t="s">
        <v>29</v>
      </c>
      <c r="O73" s="50"/>
      <c r="P73" s="371">
        <v>45476</v>
      </c>
      <c r="Q73" s="349">
        <v>0.72916666666666663</v>
      </c>
      <c r="R73" s="87"/>
      <c r="S73" s="87"/>
      <c r="T73" s="87"/>
      <c r="U73" s="87"/>
      <c r="V73" s="87"/>
      <c r="W73" s="87"/>
      <c r="X73" s="87"/>
      <c r="Y73" s="87"/>
    </row>
    <row r="74" spans="2:25" ht="27" customHeight="1">
      <c r="B74" s="359" t="s">
        <v>109</v>
      </c>
      <c r="C74" s="358">
        <v>3</v>
      </c>
      <c r="D74" s="358">
        <v>10</v>
      </c>
      <c r="E74" s="359" t="s">
        <v>110</v>
      </c>
      <c r="F74" s="335" t="s">
        <v>114</v>
      </c>
      <c r="G74" s="335" t="s">
        <v>112</v>
      </c>
      <c r="H74" s="375" t="s">
        <v>34</v>
      </c>
      <c r="I74" s="358" t="s">
        <v>113</v>
      </c>
      <c r="J74" s="49"/>
      <c r="K74" s="358" t="s">
        <v>850</v>
      </c>
      <c r="L74" s="50"/>
      <c r="M74" s="371">
        <v>45476</v>
      </c>
      <c r="N74" s="349" t="s">
        <v>29</v>
      </c>
      <c r="O74" s="50"/>
      <c r="P74" s="371">
        <v>45476</v>
      </c>
      <c r="Q74" s="349">
        <v>0.72916666666666663</v>
      </c>
      <c r="R74" s="87"/>
      <c r="S74" s="87"/>
      <c r="T74" s="87"/>
      <c r="U74" s="87"/>
      <c r="V74" s="87"/>
      <c r="W74" s="87"/>
      <c r="X74" s="87"/>
      <c r="Y74" s="87"/>
    </row>
    <row r="75" spans="2:25" ht="27" customHeight="1">
      <c r="B75" s="359" t="s">
        <v>109</v>
      </c>
      <c r="C75" s="358">
        <v>4</v>
      </c>
      <c r="D75" s="358">
        <v>10</v>
      </c>
      <c r="E75" s="359" t="s">
        <v>110</v>
      </c>
      <c r="F75" s="335" t="s">
        <v>115</v>
      </c>
      <c r="G75" s="335" t="s">
        <v>112</v>
      </c>
      <c r="H75" s="375" t="s">
        <v>47</v>
      </c>
      <c r="I75" s="358" t="s">
        <v>113</v>
      </c>
      <c r="J75" s="49"/>
      <c r="K75" s="358" t="s">
        <v>850</v>
      </c>
      <c r="L75" s="50"/>
      <c r="M75" s="371">
        <v>45476</v>
      </c>
      <c r="N75" s="349" t="s">
        <v>29</v>
      </c>
      <c r="O75" s="50"/>
      <c r="P75" s="371">
        <v>45476</v>
      </c>
      <c r="Q75" s="349">
        <v>0.72916666666666663</v>
      </c>
      <c r="R75" s="87"/>
      <c r="S75" s="87"/>
      <c r="T75" s="87"/>
      <c r="U75" s="87"/>
      <c r="V75" s="87"/>
      <c r="W75" s="87"/>
      <c r="X75" s="87"/>
      <c r="Y75" s="87"/>
    </row>
    <row r="76" spans="2:25" ht="27" customHeight="1">
      <c r="B76" s="359" t="s">
        <v>116</v>
      </c>
      <c r="C76" s="358">
        <v>1</v>
      </c>
      <c r="D76" s="358">
        <v>10</v>
      </c>
      <c r="E76" s="359" t="s">
        <v>117</v>
      </c>
      <c r="F76" s="335" t="s">
        <v>111</v>
      </c>
      <c r="G76" s="335" t="s">
        <v>118</v>
      </c>
      <c r="H76" s="375" t="s">
        <v>27</v>
      </c>
      <c r="I76" s="358" t="s">
        <v>113</v>
      </c>
      <c r="J76" s="49"/>
      <c r="K76" s="358" t="s">
        <v>850</v>
      </c>
      <c r="L76" s="50"/>
      <c r="M76" s="371">
        <v>45476</v>
      </c>
      <c r="N76" s="349" t="s">
        <v>29</v>
      </c>
      <c r="O76" s="50"/>
      <c r="P76" s="371">
        <v>45476</v>
      </c>
      <c r="Q76" s="349">
        <v>0.72916666666666663</v>
      </c>
      <c r="R76" s="87"/>
      <c r="S76" s="87"/>
      <c r="T76" s="87"/>
      <c r="U76" s="87"/>
      <c r="V76" s="87"/>
      <c r="W76" s="87"/>
      <c r="X76" s="87"/>
      <c r="Y76" s="87"/>
    </row>
    <row r="77" spans="2:25" ht="27" customHeight="1">
      <c r="B77" s="359" t="s">
        <v>116</v>
      </c>
      <c r="C77" s="358">
        <v>2</v>
      </c>
      <c r="D77" s="358">
        <v>10</v>
      </c>
      <c r="E77" s="359" t="s">
        <v>117</v>
      </c>
      <c r="F77" s="335" t="s">
        <v>111</v>
      </c>
      <c r="G77" s="335" t="s">
        <v>118</v>
      </c>
      <c r="H77" s="375" t="s">
        <v>36</v>
      </c>
      <c r="I77" s="358" t="s">
        <v>113</v>
      </c>
      <c r="J77" s="49"/>
      <c r="K77" s="358" t="s">
        <v>850</v>
      </c>
      <c r="L77" s="50"/>
      <c r="M77" s="371">
        <v>45476</v>
      </c>
      <c r="N77" s="349" t="s">
        <v>29</v>
      </c>
      <c r="O77" s="50"/>
      <c r="P77" s="371">
        <v>45476</v>
      </c>
      <c r="Q77" s="349">
        <v>0.72916666666666663</v>
      </c>
      <c r="R77" s="87"/>
      <c r="S77" s="87"/>
      <c r="T77" s="87"/>
      <c r="U77" s="87"/>
      <c r="V77" s="87"/>
      <c r="W77" s="87"/>
      <c r="X77" s="87"/>
      <c r="Y77" s="87"/>
    </row>
    <row r="78" spans="2:25" ht="27" customHeight="1">
      <c r="B78" s="359" t="s">
        <v>116</v>
      </c>
      <c r="C78" s="358">
        <v>3</v>
      </c>
      <c r="D78" s="358">
        <v>10</v>
      </c>
      <c r="E78" s="359" t="s">
        <v>117</v>
      </c>
      <c r="F78" s="335" t="s">
        <v>114</v>
      </c>
      <c r="G78" s="335" t="s">
        <v>118</v>
      </c>
      <c r="H78" s="375" t="s">
        <v>34</v>
      </c>
      <c r="I78" s="358" t="s">
        <v>113</v>
      </c>
      <c r="J78" s="49"/>
      <c r="K78" s="358" t="s">
        <v>850</v>
      </c>
      <c r="L78" s="50"/>
      <c r="M78" s="371">
        <v>45476</v>
      </c>
      <c r="N78" s="349" t="s">
        <v>29</v>
      </c>
      <c r="O78" s="50"/>
      <c r="P78" s="371">
        <v>45476</v>
      </c>
      <c r="Q78" s="349">
        <v>0.72916666666666663</v>
      </c>
      <c r="R78" s="87"/>
      <c r="S78" s="87"/>
      <c r="T78" s="87"/>
      <c r="U78" s="87"/>
      <c r="V78" s="87"/>
      <c r="W78" s="87"/>
      <c r="X78" s="87"/>
      <c r="Y78" s="87"/>
    </row>
    <row r="79" spans="2:25" ht="27" customHeight="1">
      <c r="B79" s="359" t="s">
        <v>116</v>
      </c>
      <c r="C79" s="358">
        <v>4</v>
      </c>
      <c r="D79" s="358">
        <v>10</v>
      </c>
      <c r="E79" s="359" t="s">
        <v>117</v>
      </c>
      <c r="F79" s="335" t="s">
        <v>115</v>
      </c>
      <c r="G79" s="335" t="s">
        <v>118</v>
      </c>
      <c r="H79" s="375" t="s">
        <v>47</v>
      </c>
      <c r="I79" s="358" t="s">
        <v>113</v>
      </c>
      <c r="J79" s="49"/>
      <c r="K79" s="358" t="s">
        <v>850</v>
      </c>
      <c r="L79" s="50"/>
      <c r="M79" s="371">
        <v>45476</v>
      </c>
      <c r="N79" s="349" t="s">
        <v>29</v>
      </c>
      <c r="O79" s="50"/>
      <c r="P79" s="371">
        <v>45476</v>
      </c>
      <c r="Q79" s="349">
        <v>0.72916666666666663</v>
      </c>
      <c r="R79" s="87"/>
      <c r="S79" s="87"/>
      <c r="T79" s="87"/>
      <c r="U79" s="87"/>
      <c r="V79" s="87"/>
      <c r="W79" s="87"/>
      <c r="X79" s="87"/>
      <c r="Y79" s="87"/>
    </row>
    <row r="80" spans="2:25" ht="27" customHeight="1">
      <c r="B80" s="400" t="s">
        <v>119</v>
      </c>
      <c r="C80" s="75">
        <v>1</v>
      </c>
      <c r="D80" s="75">
        <v>10</v>
      </c>
      <c r="E80" s="44" t="s">
        <v>120</v>
      </c>
      <c r="F80" s="44" t="s">
        <v>121</v>
      </c>
      <c r="G80" s="401" t="s">
        <v>122</v>
      </c>
      <c r="H80" s="59" t="s">
        <v>27</v>
      </c>
      <c r="I80" s="59" t="s">
        <v>123</v>
      </c>
      <c r="J80" s="49"/>
      <c r="K80" s="59" t="s">
        <v>851</v>
      </c>
      <c r="L80" s="50"/>
      <c r="M80" s="291">
        <v>45479</v>
      </c>
      <c r="N80" s="289" t="s">
        <v>55</v>
      </c>
      <c r="O80" s="50"/>
      <c r="P80" s="291">
        <v>45479</v>
      </c>
      <c r="Q80" s="289">
        <v>0.72916666666666663</v>
      </c>
      <c r="R80" s="87"/>
      <c r="S80" s="87"/>
      <c r="T80" s="87"/>
      <c r="U80" s="87"/>
      <c r="V80" s="87"/>
      <c r="W80" s="87"/>
      <c r="X80" s="87"/>
      <c r="Y80" s="87"/>
    </row>
    <row r="81" spans="2:25" ht="27" customHeight="1">
      <c r="B81" s="400" t="s">
        <v>119</v>
      </c>
      <c r="C81" s="75">
        <v>2</v>
      </c>
      <c r="D81" s="75">
        <v>10</v>
      </c>
      <c r="E81" s="44" t="s">
        <v>120</v>
      </c>
      <c r="F81" s="44" t="s">
        <v>121</v>
      </c>
      <c r="G81" s="401" t="s">
        <v>122</v>
      </c>
      <c r="H81" s="59" t="s">
        <v>36</v>
      </c>
      <c r="I81" s="59" t="s">
        <v>123</v>
      </c>
      <c r="J81" s="49"/>
      <c r="K81" s="59" t="s">
        <v>851</v>
      </c>
      <c r="L81" s="50"/>
      <c r="M81" s="291">
        <v>45479</v>
      </c>
      <c r="N81" s="289" t="s">
        <v>55</v>
      </c>
      <c r="O81" s="50"/>
      <c r="P81" s="291">
        <v>45479</v>
      </c>
      <c r="Q81" s="289">
        <v>0.72916666666666663</v>
      </c>
      <c r="R81" s="87"/>
      <c r="S81" s="87"/>
      <c r="T81" s="87"/>
      <c r="U81" s="87"/>
      <c r="V81" s="87"/>
      <c r="W81" s="87"/>
      <c r="X81" s="87"/>
      <c r="Y81" s="87"/>
    </row>
    <row r="82" spans="2:25" ht="27" customHeight="1">
      <c r="B82" s="359" t="s">
        <v>124</v>
      </c>
      <c r="C82" s="358">
        <v>1</v>
      </c>
      <c r="D82" s="358">
        <v>10</v>
      </c>
      <c r="E82" s="359" t="s">
        <v>125</v>
      </c>
      <c r="F82" s="335" t="s">
        <v>126</v>
      </c>
      <c r="G82" s="335" t="s">
        <v>127</v>
      </c>
      <c r="H82" s="375" t="s">
        <v>128</v>
      </c>
      <c r="I82" s="358" t="s">
        <v>123</v>
      </c>
      <c r="J82" s="49"/>
      <c r="K82" s="358" t="s">
        <v>851</v>
      </c>
      <c r="L82" s="50"/>
      <c r="M82" s="371">
        <v>45480</v>
      </c>
      <c r="N82" s="349" t="s">
        <v>29</v>
      </c>
      <c r="O82" s="50"/>
      <c r="P82" s="371">
        <v>45480</v>
      </c>
      <c r="Q82" s="349">
        <v>0.72916666666666663</v>
      </c>
      <c r="R82" s="87"/>
      <c r="S82" s="87"/>
      <c r="T82" s="87"/>
      <c r="U82" s="87"/>
      <c r="V82" s="87"/>
      <c r="W82" s="87"/>
      <c r="X82" s="87"/>
      <c r="Y82" s="87"/>
    </row>
    <row r="83" spans="2:25" ht="27" customHeight="1">
      <c r="B83" s="359" t="s">
        <v>124</v>
      </c>
      <c r="C83" s="358">
        <v>2</v>
      </c>
      <c r="D83" s="358">
        <v>10</v>
      </c>
      <c r="E83" s="359" t="s">
        <v>125</v>
      </c>
      <c r="F83" s="335" t="s">
        <v>126</v>
      </c>
      <c r="G83" s="335" t="s">
        <v>127</v>
      </c>
      <c r="H83" s="375" t="s">
        <v>129</v>
      </c>
      <c r="I83" s="358" t="s">
        <v>123</v>
      </c>
      <c r="J83" s="49"/>
      <c r="K83" s="358" t="s">
        <v>851</v>
      </c>
      <c r="L83" s="50"/>
      <c r="M83" s="371">
        <v>45480</v>
      </c>
      <c r="N83" s="349" t="s">
        <v>29</v>
      </c>
      <c r="O83" s="50"/>
      <c r="P83" s="371">
        <v>45480</v>
      </c>
      <c r="Q83" s="349">
        <v>0.72916666666666663</v>
      </c>
      <c r="R83" s="87"/>
      <c r="S83" s="87"/>
      <c r="T83" s="87"/>
      <c r="U83" s="87"/>
      <c r="V83" s="87"/>
      <c r="W83" s="87"/>
      <c r="X83" s="87"/>
      <c r="Y83" s="87"/>
    </row>
    <row r="84" spans="2:25" ht="27" customHeight="1">
      <c r="B84" s="359" t="s">
        <v>124</v>
      </c>
      <c r="C84" s="358">
        <v>3</v>
      </c>
      <c r="D84" s="358">
        <v>10</v>
      </c>
      <c r="E84" s="359" t="s">
        <v>125</v>
      </c>
      <c r="F84" s="335" t="s">
        <v>130</v>
      </c>
      <c r="G84" s="335" t="s">
        <v>127</v>
      </c>
      <c r="H84" s="375" t="s">
        <v>131</v>
      </c>
      <c r="I84" s="358" t="s">
        <v>123</v>
      </c>
      <c r="J84" s="49"/>
      <c r="K84" s="358" t="s">
        <v>851</v>
      </c>
      <c r="L84" s="50"/>
      <c r="M84" s="371">
        <v>45480</v>
      </c>
      <c r="N84" s="349" t="s">
        <v>29</v>
      </c>
      <c r="O84" s="50"/>
      <c r="P84" s="371">
        <v>45480</v>
      </c>
      <c r="Q84" s="349">
        <v>0.72916666666666663</v>
      </c>
      <c r="R84" s="87"/>
      <c r="S84" s="87"/>
      <c r="T84" s="87"/>
      <c r="U84" s="87"/>
      <c r="V84" s="87"/>
      <c r="W84" s="87"/>
      <c r="X84" s="87"/>
      <c r="Y84" s="87"/>
    </row>
    <row r="85" spans="2:25" ht="27" customHeight="1">
      <c r="B85" s="400" t="s">
        <v>132</v>
      </c>
      <c r="C85" s="75">
        <v>1</v>
      </c>
      <c r="D85" s="75">
        <v>10</v>
      </c>
      <c r="E85" s="44" t="s">
        <v>133</v>
      </c>
      <c r="F85" s="44" t="s">
        <v>134</v>
      </c>
      <c r="G85" s="197" t="s">
        <v>135</v>
      </c>
      <c r="H85" s="59" t="s">
        <v>49</v>
      </c>
      <c r="I85" s="59" t="s">
        <v>136</v>
      </c>
      <c r="J85" s="49"/>
      <c r="K85" s="59" t="s">
        <v>852</v>
      </c>
      <c r="L85" s="50"/>
      <c r="M85" s="288">
        <v>45481</v>
      </c>
      <c r="N85" s="402" t="s">
        <v>55</v>
      </c>
      <c r="O85" s="50"/>
      <c r="P85" s="288">
        <v>45481</v>
      </c>
      <c r="Q85" s="289">
        <v>0.72916666666666663</v>
      </c>
      <c r="R85" s="87"/>
      <c r="S85" s="87"/>
      <c r="T85" s="87"/>
      <c r="U85" s="87"/>
      <c r="V85" s="87"/>
      <c r="W85" s="87"/>
      <c r="X85" s="87"/>
      <c r="Y85" s="87"/>
    </row>
    <row r="86" spans="2:25" ht="28" customHeight="1">
      <c r="B86" s="400" t="s">
        <v>132</v>
      </c>
      <c r="C86" s="75">
        <v>2</v>
      </c>
      <c r="D86" s="75">
        <v>10</v>
      </c>
      <c r="E86" s="44" t="s">
        <v>133</v>
      </c>
      <c r="F86" s="168" t="s">
        <v>137</v>
      </c>
      <c r="G86" s="197" t="s">
        <v>135</v>
      </c>
      <c r="H86" s="403" t="s">
        <v>48</v>
      </c>
      <c r="I86" s="59" t="s">
        <v>136</v>
      </c>
      <c r="J86" s="49"/>
      <c r="K86" s="59" t="s">
        <v>852</v>
      </c>
      <c r="L86" s="50"/>
      <c r="M86" s="288">
        <v>45481</v>
      </c>
      <c r="N86" s="402" t="s">
        <v>55</v>
      </c>
      <c r="O86" s="50"/>
      <c r="P86" s="288">
        <v>45481</v>
      </c>
      <c r="Q86" s="289">
        <v>0.72916666666666663</v>
      </c>
      <c r="R86" s="87"/>
      <c r="S86" s="87"/>
      <c r="T86" s="87"/>
      <c r="U86" s="87"/>
      <c r="V86" s="87"/>
      <c r="W86" s="87"/>
      <c r="X86" s="87"/>
      <c r="Y86" s="87"/>
    </row>
    <row r="87" spans="2:25" ht="28" customHeight="1">
      <c r="B87" s="400" t="s">
        <v>132</v>
      </c>
      <c r="C87" s="75">
        <v>3</v>
      </c>
      <c r="D87" s="75">
        <v>10</v>
      </c>
      <c r="E87" s="44" t="s">
        <v>133</v>
      </c>
      <c r="F87" s="168" t="s">
        <v>138</v>
      </c>
      <c r="G87" s="197" t="s">
        <v>135</v>
      </c>
      <c r="H87" s="403" t="s">
        <v>44</v>
      </c>
      <c r="I87" s="59" t="s">
        <v>136</v>
      </c>
      <c r="J87" s="49"/>
      <c r="K87" s="59" t="s">
        <v>852</v>
      </c>
      <c r="L87" s="50"/>
      <c r="M87" s="288">
        <v>45481</v>
      </c>
      <c r="N87" s="402" t="s">
        <v>55</v>
      </c>
      <c r="O87" s="50"/>
      <c r="P87" s="288">
        <v>45481</v>
      </c>
      <c r="Q87" s="289">
        <v>0.72916666666666663</v>
      </c>
      <c r="R87" s="87"/>
      <c r="S87" s="87"/>
      <c r="T87" s="87"/>
      <c r="U87" s="87"/>
      <c r="V87" s="87"/>
      <c r="W87" s="87"/>
      <c r="X87" s="87"/>
      <c r="Y87" s="87"/>
    </row>
    <row r="88" spans="2:25" ht="27" customHeight="1">
      <c r="B88" s="359" t="s">
        <v>139</v>
      </c>
      <c r="C88" s="358">
        <v>1</v>
      </c>
      <c r="D88" s="358">
        <v>10</v>
      </c>
      <c r="E88" s="359" t="s">
        <v>140</v>
      </c>
      <c r="F88" s="335" t="s">
        <v>141</v>
      </c>
      <c r="G88" s="335" t="s">
        <v>132</v>
      </c>
      <c r="H88" s="375" t="s">
        <v>48</v>
      </c>
      <c r="I88" s="358" t="s">
        <v>142</v>
      </c>
      <c r="J88" s="49"/>
      <c r="K88" s="358" t="s">
        <v>852</v>
      </c>
      <c r="L88" s="50"/>
      <c r="M88" s="371">
        <v>45481</v>
      </c>
      <c r="N88" s="349" t="s">
        <v>29</v>
      </c>
      <c r="O88" s="50"/>
      <c r="P88" s="371">
        <v>45481</v>
      </c>
      <c r="Q88" s="349">
        <v>0.72916666666666663</v>
      </c>
      <c r="R88" s="87"/>
      <c r="S88" s="87"/>
      <c r="T88" s="87"/>
      <c r="U88" s="87"/>
      <c r="V88" s="87"/>
      <c r="W88" s="87"/>
      <c r="X88" s="87"/>
      <c r="Y88" s="87"/>
    </row>
    <row r="89" spans="2:25" ht="27" customHeight="1">
      <c r="B89" s="359" t="s">
        <v>139</v>
      </c>
      <c r="C89" s="358">
        <v>2</v>
      </c>
      <c r="D89" s="358">
        <v>10</v>
      </c>
      <c r="E89" s="359" t="s">
        <v>140</v>
      </c>
      <c r="F89" s="335" t="s">
        <v>141</v>
      </c>
      <c r="G89" s="335" t="s">
        <v>132</v>
      </c>
      <c r="H89" s="375" t="s">
        <v>49</v>
      </c>
      <c r="I89" s="358" t="s">
        <v>143</v>
      </c>
      <c r="J89" s="49"/>
      <c r="K89" s="358" t="s">
        <v>852</v>
      </c>
      <c r="L89" s="50"/>
      <c r="M89" s="371">
        <v>45481</v>
      </c>
      <c r="N89" s="349" t="s">
        <v>29</v>
      </c>
      <c r="O89" s="50"/>
      <c r="P89" s="371">
        <v>45481</v>
      </c>
      <c r="Q89" s="349">
        <v>0.72916666666666663</v>
      </c>
      <c r="R89" s="87"/>
      <c r="S89" s="87"/>
      <c r="T89" s="87"/>
      <c r="U89" s="87"/>
      <c r="V89" s="87"/>
      <c r="W89" s="87"/>
      <c r="X89" s="87"/>
      <c r="Y89" s="87"/>
    </row>
    <row r="90" spans="2:25" ht="27" customHeight="1">
      <c r="B90" s="359" t="s">
        <v>139</v>
      </c>
      <c r="C90" s="358">
        <v>3</v>
      </c>
      <c r="D90" s="358">
        <v>10</v>
      </c>
      <c r="E90" s="359" t="s">
        <v>140</v>
      </c>
      <c r="F90" s="335" t="s">
        <v>138</v>
      </c>
      <c r="G90" s="335" t="s">
        <v>132</v>
      </c>
      <c r="H90" s="375" t="s">
        <v>31</v>
      </c>
      <c r="I90" s="358" t="s">
        <v>144</v>
      </c>
      <c r="J90" s="49"/>
      <c r="K90" s="358" t="s">
        <v>852</v>
      </c>
      <c r="L90" s="50"/>
      <c r="M90" s="371">
        <v>45481</v>
      </c>
      <c r="N90" s="349" t="s">
        <v>29</v>
      </c>
      <c r="O90" s="50"/>
      <c r="P90" s="371">
        <v>45481</v>
      </c>
      <c r="Q90" s="349">
        <v>0.72916666666666663</v>
      </c>
      <c r="R90" s="87"/>
      <c r="S90" s="87"/>
      <c r="T90" s="87"/>
      <c r="U90" s="87"/>
      <c r="V90" s="87"/>
      <c r="W90" s="87"/>
      <c r="X90" s="87"/>
      <c r="Y90" s="87"/>
    </row>
    <row r="91" spans="2:25" ht="27" customHeight="1">
      <c r="B91" s="359" t="s">
        <v>139</v>
      </c>
      <c r="C91" s="358">
        <v>4</v>
      </c>
      <c r="D91" s="358">
        <v>10</v>
      </c>
      <c r="E91" s="359" t="s">
        <v>140</v>
      </c>
      <c r="F91" s="335" t="s">
        <v>145</v>
      </c>
      <c r="G91" s="335" t="s">
        <v>132</v>
      </c>
      <c r="H91" s="375" t="s">
        <v>38</v>
      </c>
      <c r="I91" s="358" t="s">
        <v>146</v>
      </c>
      <c r="J91" s="49"/>
      <c r="K91" s="358" t="s">
        <v>852</v>
      </c>
      <c r="L91" s="50"/>
      <c r="M91" s="371">
        <v>45481</v>
      </c>
      <c r="N91" s="349" t="s">
        <v>29</v>
      </c>
      <c r="O91" s="50"/>
      <c r="P91" s="371">
        <v>45481</v>
      </c>
      <c r="Q91" s="349">
        <v>0.72916666666666663</v>
      </c>
      <c r="R91" s="87"/>
      <c r="S91" s="87"/>
      <c r="T91" s="87"/>
      <c r="U91" s="87"/>
      <c r="V91" s="87"/>
      <c r="W91" s="87"/>
      <c r="X91" s="87"/>
      <c r="Y91" s="87"/>
    </row>
    <row r="92" spans="2:25" ht="27" customHeight="1">
      <c r="B92" s="359" t="s">
        <v>139</v>
      </c>
      <c r="C92" s="358">
        <v>5</v>
      </c>
      <c r="D92" s="358">
        <v>10</v>
      </c>
      <c r="E92" s="359" t="s">
        <v>140</v>
      </c>
      <c r="F92" s="335" t="s">
        <v>137</v>
      </c>
      <c r="G92" s="335" t="s">
        <v>132</v>
      </c>
      <c r="H92" s="375" t="s">
        <v>27</v>
      </c>
      <c r="I92" s="358" t="s">
        <v>844</v>
      </c>
      <c r="J92" s="49"/>
      <c r="K92" s="358" t="s">
        <v>852</v>
      </c>
      <c r="L92" s="50"/>
      <c r="M92" s="371">
        <v>45481</v>
      </c>
      <c r="N92" s="349" t="s">
        <v>29</v>
      </c>
      <c r="O92" s="50"/>
      <c r="P92" s="371">
        <v>45481</v>
      </c>
      <c r="Q92" s="349">
        <v>0.72916666666666663</v>
      </c>
      <c r="R92" s="87"/>
      <c r="S92" s="87"/>
      <c r="T92" s="87"/>
      <c r="U92" s="87"/>
      <c r="V92" s="87"/>
      <c r="W92" s="87"/>
      <c r="X92" s="87"/>
      <c r="Y92" s="87"/>
    </row>
    <row r="93" spans="2:25" ht="15" customHeight="1">
      <c r="B93" s="269"/>
      <c r="C93" s="270"/>
      <c r="D93" s="270"/>
      <c r="E93" s="269"/>
      <c r="F93" s="269"/>
      <c r="G93" s="269"/>
      <c r="H93" s="270"/>
      <c r="I93" s="270"/>
      <c r="J93" s="267"/>
      <c r="K93" s="270"/>
      <c r="L93" s="270"/>
      <c r="M93" s="267"/>
      <c r="N93" s="270"/>
      <c r="O93" s="100"/>
      <c r="P93" s="100"/>
      <c r="Q93" s="100"/>
      <c r="R93" s="128"/>
      <c r="S93" s="128"/>
      <c r="T93" s="128"/>
      <c r="U93" s="128"/>
      <c r="V93" s="128"/>
      <c r="W93" s="128"/>
      <c r="X93" s="128"/>
      <c r="Y93" s="128"/>
    </row>
    <row r="94" spans="2:25" ht="50.25" customHeight="1">
      <c r="B94" s="266" t="s">
        <v>147</v>
      </c>
      <c r="C94" s="268"/>
      <c r="D94" s="268"/>
      <c r="E94" s="69"/>
      <c r="F94" s="82"/>
      <c r="G94" s="265"/>
      <c r="H94" s="81"/>
      <c r="I94" s="265"/>
      <c r="J94" s="81"/>
      <c r="K94" s="81"/>
      <c r="L94" s="268"/>
      <c r="M94" s="268"/>
      <c r="N94" s="268"/>
      <c r="O94" s="52"/>
      <c r="P94" s="52"/>
      <c r="Q94" s="52"/>
      <c r="R94" s="87"/>
      <c r="S94" s="87"/>
      <c r="T94" s="87"/>
      <c r="U94" s="87"/>
      <c r="V94" s="87"/>
      <c r="W94" s="87"/>
      <c r="X94" s="87"/>
      <c r="Y94" s="87"/>
    </row>
    <row r="95" spans="2:25" ht="27" customHeight="1">
      <c r="B95" s="104"/>
      <c r="C95" s="54"/>
      <c r="D95" s="79"/>
      <c r="E95" s="54"/>
      <c r="F95" s="54"/>
      <c r="G95" s="54"/>
      <c r="H95" s="440" t="s">
        <v>148</v>
      </c>
      <c r="I95" s="440"/>
      <c r="J95" s="433"/>
      <c r="K95" s="434"/>
      <c r="L95" s="434"/>
      <c r="M95" s="86"/>
      <c r="N95" s="85"/>
      <c r="O95" s="80"/>
      <c r="P95" s="80"/>
      <c r="Q95" s="80"/>
      <c r="R95" s="87"/>
      <c r="S95" s="87"/>
      <c r="T95" s="87"/>
      <c r="U95" s="87"/>
      <c r="V95" s="87"/>
    </row>
    <row r="96" spans="2:25" ht="27" customHeight="1">
      <c r="B96" s="200" t="s">
        <v>11</v>
      </c>
      <c r="C96" s="147" t="s">
        <v>12</v>
      </c>
      <c r="D96" s="147" t="s">
        <v>13</v>
      </c>
      <c r="E96" s="200" t="s">
        <v>14</v>
      </c>
      <c r="F96" s="200" t="s">
        <v>15</v>
      </c>
      <c r="G96" s="205" t="s">
        <v>16</v>
      </c>
      <c r="H96" s="441" t="s">
        <v>149</v>
      </c>
      <c r="I96" s="441"/>
      <c r="J96" s="433"/>
      <c r="K96" s="434"/>
      <c r="L96" s="434"/>
      <c r="M96" s="261"/>
      <c r="N96" s="268"/>
      <c r="O96" s="52"/>
      <c r="P96" s="52"/>
      <c r="Q96" s="52"/>
      <c r="R96" s="87"/>
      <c r="S96" s="87"/>
      <c r="T96" s="87"/>
      <c r="U96" s="87"/>
      <c r="V96" s="87"/>
      <c r="W96" s="87"/>
      <c r="X96" s="87"/>
      <c r="Y96" s="87"/>
    </row>
    <row r="97" spans="2:52" ht="27" customHeight="1">
      <c r="B97" s="44" t="s">
        <v>150</v>
      </c>
      <c r="C97" s="59">
        <v>1</v>
      </c>
      <c r="D97" s="59">
        <v>0</v>
      </c>
      <c r="E97" s="44" t="s">
        <v>151</v>
      </c>
      <c r="F97" s="44" t="s">
        <v>152</v>
      </c>
      <c r="G97" s="42" t="s">
        <v>153</v>
      </c>
      <c r="H97" s="442" t="s">
        <v>834</v>
      </c>
      <c r="I97" s="442"/>
      <c r="J97" s="261"/>
      <c r="K97" s="261"/>
      <c r="L97" s="261"/>
      <c r="M97" s="261"/>
      <c r="N97" s="268"/>
      <c r="O97" s="52"/>
      <c r="P97" s="52"/>
      <c r="Q97" s="52"/>
      <c r="R97" s="87"/>
      <c r="S97" s="87"/>
      <c r="T97" s="87"/>
      <c r="U97" s="87"/>
      <c r="V97" s="87"/>
      <c r="W97" s="87"/>
      <c r="X97" s="87"/>
      <c r="Y97" s="87"/>
    </row>
    <row r="98" spans="2:52" ht="27" customHeight="1">
      <c r="B98" s="359" t="s">
        <v>154</v>
      </c>
      <c r="C98" s="358">
        <v>1</v>
      </c>
      <c r="D98" s="358">
        <v>0</v>
      </c>
      <c r="E98" s="359" t="s">
        <v>155</v>
      </c>
      <c r="F98" s="359" t="s">
        <v>156</v>
      </c>
      <c r="G98" s="335" t="s">
        <v>153</v>
      </c>
      <c r="H98" s="443" t="s">
        <v>835</v>
      </c>
      <c r="I98" s="443"/>
      <c r="J98" s="261"/>
      <c r="K98" s="261"/>
      <c r="L98" s="261"/>
      <c r="M98" s="261"/>
      <c r="N98" s="268"/>
      <c r="O98" s="52"/>
      <c r="P98" s="52"/>
      <c r="Q98" s="52"/>
      <c r="R98" s="87"/>
      <c r="S98" s="87"/>
      <c r="T98" s="87"/>
      <c r="U98" s="87"/>
      <c r="V98" s="87"/>
      <c r="W98" s="87"/>
      <c r="X98" s="87"/>
      <c r="Y98" s="87"/>
    </row>
    <row r="99" spans="2:52" ht="13.5" customHeight="1">
      <c r="B99" s="260"/>
      <c r="C99" s="268"/>
      <c r="D99" s="268"/>
      <c r="E99" s="260"/>
      <c r="F99" s="260"/>
      <c r="G99" s="259"/>
      <c r="H99" s="1"/>
      <c r="I99" s="267"/>
      <c r="J99" s="268"/>
      <c r="K99" s="268"/>
      <c r="L99" s="268"/>
      <c r="M99" s="268"/>
      <c r="N99" s="268"/>
      <c r="O99" s="52"/>
      <c r="P99" s="52"/>
      <c r="Q99" s="52"/>
      <c r="R99" s="87"/>
      <c r="S99" s="87"/>
      <c r="T99" s="87"/>
      <c r="U99" s="87"/>
      <c r="V99" s="87"/>
      <c r="W99" s="87"/>
      <c r="X99" s="87"/>
    </row>
    <row r="100" spans="2:52" ht="13.5" customHeight="1">
      <c r="B100" s="260"/>
      <c r="C100" s="268"/>
      <c r="D100" s="268"/>
      <c r="E100" s="260"/>
      <c r="F100" s="260"/>
      <c r="G100" s="259"/>
      <c r="H100" s="268"/>
      <c r="I100" s="262"/>
      <c r="J100" s="267"/>
      <c r="K100" s="268"/>
      <c r="L100" s="268"/>
      <c r="M100" s="268"/>
      <c r="N100" s="268"/>
      <c r="O100" s="52"/>
      <c r="P100" s="52"/>
      <c r="Q100" s="52"/>
      <c r="R100" s="87"/>
      <c r="S100" s="87"/>
      <c r="T100" s="87"/>
      <c r="U100" s="87"/>
      <c r="V100" s="87"/>
      <c r="W100" s="87"/>
      <c r="X100" s="87"/>
      <c r="Y100" s="87"/>
    </row>
    <row r="101" spans="2:52" ht="15" customHeight="1">
      <c r="B101" s="266" t="s">
        <v>157</v>
      </c>
      <c r="C101" s="268"/>
      <c r="D101" s="268"/>
      <c r="E101" s="260"/>
      <c r="F101" s="259"/>
      <c r="G101" s="259"/>
      <c r="H101" s="268"/>
      <c r="I101" s="268"/>
      <c r="J101" s="267"/>
      <c r="K101" s="268"/>
      <c r="L101" s="268"/>
      <c r="M101" s="268"/>
      <c r="N101" s="268"/>
      <c r="O101" s="52"/>
      <c r="P101" s="52"/>
      <c r="Q101" s="52"/>
      <c r="R101" s="87"/>
      <c r="S101" s="87"/>
      <c r="T101" s="87"/>
      <c r="U101" s="87"/>
      <c r="V101" s="87"/>
      <c r="W101" s="87"/>
      <c r="X101" s="87"/>
      <c r="Y101" s="87"/>
    </row>
    <row r="102" spans="2:52" ht="15" customHeight="1">
      <c r="B102" s="260" t="s">
        <v>158</v>
      </c>
      <c r="C102" s="268"/>
      <c r="D102" s="268"/>
      <c r="E102" s="260"/>
      <c r="F102" s="260"/>
      <c r="G102" s="259"/>
      <c r="H102" s="268"/>
      <c r="I102" s="268"/>
      <c r="J102" s="267"/>
      <c r="K102" s="268"/>
      <c r="L102" s="268"/>
      <c r="M102" s="268"/>
      <c r="N102" s="268"/>
      <c r="O102" s="52"/>
      <c r="P102" s="52"/>
      <c r="Q102" s="52"/>
      <c r="R102" s="87"/>
      <c r="S102" s="87"/>
      <c r="T102" s="87"/>
      <c r="U102" s="87"/>
      <c r="V102" s="87"/>
      <c r="W102" s="87"/>
      <c r="X102" s="87"/>
      <c r="Y102" s="87"/>
    </row>
    <row r="103" spans="2:52" ht="15" customHeight="1">
      <c r="B103" s="260" t="s">
        <v>159</v>
      </c>
      <c r="C103" s="268"/>
      <c r="D103" s="268"/>
      <c r="E103" s="260"/>
      <c r="F103" s="260"/>
      <c r="G103" s="259"/>
      <c r="H103" s="268"/>
      <c r="I103" s="268"/>
      <c r="J103" s="267"/>
      <c r="K103" s="268"/>
      <c r="L103" s="268"/>
      <c r="M103" s="268"/>
      <c r="N103" s="268"/>
      <c r="O103" s="52"/>
      <c r="P103" s="52"/>
      <c r="Q103" s="52"/>
      <c r="R103" s="87"/>
      <c r="S103" s="87"/>
      <c r="T103" s="87"/>
      <c r="U103" s="87"/>
      <c r="V103" s="87"/>
      <c r="W103" s="87"/>
      <c r="X103" s="87"/>
      <c r="Y103" s="87"/>
    </row>
    <row r="104" spans="2:52" ht="15" customHeight="1">
      <c r="B104" s="260"/>
      <c r="C104" s="268"/>
      <c r="D104" s="268"/>
      <c r="E104" s="260"/>
      <c r="F104" s="260"/>
      <c r="G104" s="259"/>
      <c r="H104" s="268"/>
      <c r="I104" s="268"/>
      <c r="J104" s="267"/>
      <c r="K104" s="268"/>
      <c r="L104" s="268"/>
      <c r="M104" s="268"/>
      <c r="N104" s="268"/>
      <c r="O104" s="52"/>
      <c r="P104" s="52"/>
      <c r="Q104" s="52"/>
      <c r="R104" s="87"/>
      <c r="S104" s="87"/>
      <c r="T104" s="87"/>
      <c r="U104" s="87"/>
      <c r="V104" s="87"/>
      <c r="W104" s="87"/>
      <c r="X104" s="87"/>
      <c r="Y104" s="87"/>
    </row>
    <row r="105" spans="2:52" ht="28" customHeight="1">
      <c r="B105" s="264"/>
      <c r="C105" s="263"/>
      <c r="D105" s="262"/>
      <c r="E105" s="263"/>
      <c r="F105" s="263"/>
      <c r="G105" s="263"/>
      <c r="H105" s="105" t="s">
        <v>7</v>
      </c>
      <c r="I105" s="71" t="s">
        <v>8</v>
      </c>
      <c r="J105" s="268"/>
      <c r="K105" s="20" t="s">
        <v>9</v>
      </c>
      <c r="L105" s="268"/>
      <c r="M105" s="425" t="s">
        <v>10</v>
      </c>
      <c r="N105" s="426"/>
      <c r="O105" s="199"/>
      <c r="P105" s="431" t="s">
        <v>914</v>
      </c>
      <c r="Q105" s="432"/>
      <c r="R105" s="87"/>
      <c r="S105" s="87"/>
      <c r="T105" s="87"/>
      <c r="U105" s="87"/>
      <c r="V105" s="87"/>
      <c r="W105" s="87"/>
      <c r="X105" s="87"/>
      <c r="Y105" s="87"/>
    </row>
    <row r="106" spans="2:52" ht="27" customHeight="1">
      <c r="B106" s="68" t="s">
        <v>11</v>
      </c>
      <c r="C106" s="116" t="s">
        <v>12</v>
      </c>
      <c r="D106" s="116" t="s">
        <v>13</v>
      </c>
      <c r="E106" s="68" t="s">
        <v>14</v>
      </c>
      <c r="F106" s="68" t="s">
        <v>15</v>
      </c>
      <c r="G106" s="244" t="s">
        <v>16</v>
      </c>
      <c r="H106" s="203" t="s">
        <v>17</v>
      </c>
      <c r="I106" s="203" t="s">
        <v>17</v>
      </c>
      <c r="J106" s="5"/>
      <c r="K106" s="20" t="s">
        <v>18</v>
      </c>
      <c r="L106" s="195"/>
      <c r="M106" s="71" t="s">
        <v>0</v>
      </c>
      <c r="N106" s="71" t="s">
        <v>1</v>
      </c>
      <c r="O106" s="195"/>
      <c r="P106" s="96" t="s">
        <v>0</v>
      </c>
      <c r="Q106" s="96" t="s">
        <v>1</v>
      </c>
      <c r="R106" s="87"/>
      <c r="S106" s="87"/>
      <c r="T106" s="87"/>
      <c r="U106" s="87"/>
      <c r="V106" s="87"/>
      <c r="W106" s="87"/>
      <c r="X106" s="87"/>
      <c r="Y106" s="87"/>
    </row>
    <row r="107" spans="2:52" ht="27" customHeight="1">
      <c r="B107" s="43" t="s">
        <v>160</v>
      </c>
      <c r="C107" s="58">
        <v>1</v>
      </c>
      <c r="D107" s="58">
        <v>10</v>
      </c>
      <c r="E107" s="204" t="s">
        <v>161</v>
      </c>
      <c r="F107" s="44" t="s">
        <v>114</v>
      </c>
      <c r="G107" s="144" t="s">
        <v>162</v>
      </c>
      <c r="H107" s="9" t="s">
        <v>49</v>
      </c>
      <c r="I107" s="178" t="s">
        <v>136</v>
      </c>
      <c r="J107" s="76"/>
      <c r="K107" s="247" t="s">
        <v>192</v>
      </c>
      <c r="L107" s="245"/>
      <c r="M107" s="166">
        <v>45841</v>
      </c>
      <c r="N107" s="59" t="s">
        <v>55</v>
      </c>
      <c r="O107" s="245"/>
      <c r="P107" s="285" t="s">
        <v>192</v>
      </c>
      <c r="Q107" s="286" t="s">
        <v>192</v>
      </c>
      <c r="R107" s="87"/>
      <c r="S107" s="87"/>
      <c r="T107" s="87"/>
      <c r="U107" s="87"/>
      <c r="V107" s="87"/>
      <c r="W107" s="87"/>
      <c r="X107" s="87"/>
      <c r="Y107" s="87"/>
    </row>
    <row r="108" spans="2:52" ht="27" customHeight="1">
      <c r="B108" s="320" t="s">
        <v>163</v>
      </c>
      <c r="C108" s="319">
        <v>1</v>
      </c>
      <c r="D108" s="319">
        <v>10</v>
      </c>
      <c r="E108" s="320" t="s">
        <v>164</v>
      </c>
      <c r="F108" s="321" t="s">
        <v>108</v>
      </c>
      <c r="G108" s="321" t="s">
        <v>165</v>
      </c>
      <c r="H108" s="322" t="s">
        <v>38</v>
      </c>
      <c r="I108" s="319" t="s">
        <v>166</v>
      </c>
      <c r="J108" s="76"/>
      <c r="K108" s="325" t="s">
        <v>866</v>
      </c>
      <c r="L108" s="13"/>
      <c r="M108" s="326">
        <v>45846</v>
      </c>
      <c r="N108" s="327" t="s">
        <v>888</v>
      </c>
      <c r="O108" s="13"/>
      <c r="P108" s="326" t="s">
        <v>192</v>
      </c>
      <c r="Q108" s="327" t="s">
        <v>192</v>
      </c>
      <c r="R108" s="87"/>
      <c r="S108" s="87"/>
      <c r="T108" s="87"/>
      <c r="U108" s="87"/>
      <c r="V108" s="87"/>
      <c r="W108" s="87"/>
      <c r="X108" s="87"/>
      <c r="Y108" s="87"/>
    </row>
    <row r="109" spans="2:52" ht="27" customHeight="1">
      <c r="B109" s="320" t="s">
        <v>167</v>
      </c>
      <c r="C109" s="319">
        <v>1</v>
      </c>
      <c r="D109" s="319">
        <v>5</v>
      </c>
      <c r="E109" s="320" t="s">
        <v>168</v>
      </c>
      <c r="F109" s="321" t="s">
        <v>169</v>
      </c>
      <c r="G109" s="321" t="s">
        <v>170</v>
      </c>
      <c r="H109" s="322" t="s">
        <v>171</v>
      </c>
      <c r="I109" s="319" t="s">
        <v>79</v>
      </c>
      <c r="J109" s="76"/>
      <c r="K109" s="325" t="s">
        <v>192</v>
      </c>
      <c r="L109" s="13"/>
      <c r="M109" s="326" t="s">
        <v>192</v>
      </c>
      <c r="N109" s="327" t="s">
        <v>192</v>
      </c>
      <c r="O109" s="13"/>
      <c r="P109" s="326" t="s">
        <v>192</v>
      </c>
      <c r="Q109" s="327" t="s">
        <v>192</v>
      </c>
      <c r="R109" s="87"/>
      <c r="S109" s="87"/>
      <c r="T109" s="87"/>
      <c r="U109" s="87"/>
      <c r="V109" s="87"/>
      <c r="W109" s="87"/>
      <c r="X109" s="87"/>
      <c r="Y109" s="87"/>
    </row>
    <row r="110" spans="2:52" ht="27" customHeight="1">
      <c r="B110" s="320" t="s">
        <v>172</v>
      </c>
      <c r="C110" s="319">
        <v>1</v>
      </c>
      <c r="D110" s="319">
        <v>5</v>
      </c>
      <c r="E110" s="320" t="s">
        <v>173</v>
      </c>
      <c r="F110" s="321" t="s">
        <v>174</v>
      </c>
      <c r="G110" s="321" t="s">
        <v>72</v>
      </c>
      <c r="H110" s="322" t="s">
        <v>175</v>
      </c>
      <c r="I110" s="319" t="s">
        <v>176</v>
      </c>
      <c r="J110" s="76"/>
      <c r="K110" s="325" t="s">
        <v>867</v>
      </c>
      <c r="L110" s="245"/>
      <c r="M110" s="326">
        <v>45832</v>
      </c>
      <c r="N110" s="327" t="s">
        <v>213</v>
      </c>
      <c r="O110" s="13"/>
      <c r="P110" s="326" t="s">
        <v>192</v>
      </c>
      <c r="Q110" s="327" t="s">
        <v>192</v>
      </c>
      <c r="R110" s="87"/>
      <c r="S110" s="87"/>
      <c r="T110" s="87"/>
      <c r="U110" s="87"/>
      <c r="V110" s="87"/>
      <c r="W110" s="87"/>
      <c r="X110" s="87"/>
      <c r="Y110" s="87"/>
    </row>
    <row r="111" spans="2:52" ht="27" customHeight="1">
      <c r="B111" s="42" t="s">
        <v>177</v>
      </c>
      <c r="C111" s="59">
        <v>1</v>
      </c>
      <c r="D111" s="59">
        <v>5</v>
      </c>
      <c r="E111" s="44" t="s">
        <v>178</v>
      </c>
      <c r="F111" s="220" t="s">
        <v>99</v>
      </c>
      <c r="G111" s="144" t="s">
        <v>179</v>
      </c>
      <c r="H111" s="223" t="s">
        <v>180</v>
      </c>
      <c r="I111" s="59" t="s">
        <v>181</v>
      </c>
      <c r="J111" s="76"/>
      <c r="K111" s="293" t="s">
        <v>868</v>
      </c>
      <c r="L111" s="245"/>
      <c r="M111" s="59" t="s">
        <v>192</v>
      </c>
      <c r="N111" s="59" t="s">
        <v>192</v>
      </c>
      <c r="O111" s="245"/>
      <c r="P111" s="285" t="s">
        <v>192</v>
      </c>
      <c r="Q111" s="286" t="s">
        <v>192</v>
      </c>
      <c r="R111" s="87"/>
      <c r="S111" s="87"/>
      <c r="T111" s="87"/>
      <c r="U111" s="87"/>
      <c r="V111" s="87"/>
      <c r="W111" s="87"/>
      <c r="X111" s="87"/>
      <c r="Y111" s="87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</row>
    <row r="112" spans="2:52" s="337" customFormat="1" ht="27" customHeight="1">
      <c r="B112" s="320" t="s">
        <v>182</v>
      </c>
      <c r="C112" s="319">
        <v>1</v>
      </c>
      <c r="D112" s="319">
        <v>10</v>
      </c>
      <c r="E112" s="320" t="s">
        <v>183</v>
      </c>
      <c r="F112" s="321" t="s">
        <v>169</v>
      </c>
      <c r="G112" s="321" t="s">
        <v>184</v>
      </c>
      <c r="H112" s="322" t="s">
        <v>34</v>
      </c>
      <c r="I112" s="319" t="s">
        <v>185</v>
      </c>
      <c r="J112" s="76"/>
      <c r="K112" s="325" t="s">
        <v>869</v>
      </c>
      <c r="L112" s="245"/>
      <c r="M112" s="326" t="s">
        <v>192</v>
      </c>
      <c r="N112" s="327" t="s">
        <v>192</v>
      </c>
      <c r="O112" s="245"/>
      <c r="P112" s="326" t="s">
        <v>192</v>
      </c>
      <c r="Q112" s="327" t="s">
        <v>192</v>
      </c>
      <c r="R112" s="87"/>
      <c r="S112" s="87"/>
      <c r="T112" s="87"/>
      <c r="U112" s="87"/>
      <c r="V112" s="87"/>
      <c r="W112" s="87"/>
      <c r="X112" s="87"/>
      <c r="Y112" s="87"/>
      <c r="Z112" s="123"/>
      <c r="AA112" s="123"/>
      <c r="AB112" s="123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</row>
    <row r="113" spans="1:52" ht="27" customHeight="1">
      <c r="B113" s="43" t="s">
        <v>186</v>
      </c>
      <c r="C113" s="58">
        <v>1</v>
      </c>
      <c r="D113" s="58">
        <v>5</v>
      </c>
      <c r="E113" s="43" t="s">
        <v>187</v>
      </c>
      <c r="F113" s="168" t="s">
        <v>188</v>
      </c>
      <c r="G113" s="144" t="s">
        <v>189</v>
      </c>
      <c r="H113" s="59" t="s">
        <v>190</v>
      </c>
      <c r="I113" s="117" t="s">
        <v>191</v>
      </c>
      <c r="J113" s="76"/>
      <c r="K113" s="247" t="s">
        <v>192</v>
      </c>
      <c r="L113" s="245"/>
      <c r="M113" s="59" t="s">
        <v>192</v>
      </c>
      <c r="N113" s="59" t="s">
        <v>192</v>
      </c>
      <c r="O113" s="245"/>
      <c r="P113" s="285" t="s">
        <v>192</v>
      </c>
      <c r="Q113" s="286" t="s">
        <v>192</v>
      </c>
      <c r="R113" s="87"/>
      <c r="S113" s="87"/>
      <c r="T113" s="87"/>
      <c r="U113" s="87"/>
      <c r="V113" s="87"/>
      <c r="W113" s="87"/>
      <c r="X113" s="87"/>
      <c r="Y113" s="87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</row>
    <row r="114" spans="1:52" ht="27" customHeight="1">
      <c r="B114" s="338" t="s">
        <v>193</v>
      </c>
      <c r="C114" s="339">
        <v>1</v>
      </c>
      <c r="D114" s="340">
        <v>10</v>
      </c>
      <c r="E114" s="341" t="s">
        <v>194</v>
      </c>
      <c r="F114" s="342" t="s">
        <v>195</v>
      </c>
      <c r="G114" s="343" t="s">
        <v>189</v>
      </c>
      <c r="H114" s="319" t="s">
        <v>27</v>
      </c>
      <c r="I114" s="344" t="s">
        <v>61</v>
      </c>
      <c r="J114" s="76"/>
      <c r="K114" s="324" t="s">
        <v>870</v>
      </c>
      <c r="L114" s="196"/>
      <c r="M114" s="348">
        <v>45838</v>
      </c>
      <c r="N114" s="349" t="s">
        <v>29</v>
      </c>
      <c r="O114" s="196"/>
      <c r="P114" s="326" t="s">
        <v>192</v>
      </c>
      <c r="Q114" s="327" t="s">
        <v>192</v>
      </c>
      <c r="R114" s="87"/>
      <c r="S114" s="87"/>
      <c r="T114" s="87"/>
      <c r="U114" s="87"/>
      <c r="V114" s="87"/>
      <c r="W114" s="87"/>
      <c r="X114" s="87"/>
      <c r="Y114" s="87"/>
    </row>
    <row r="115" spans="1:52" ht="27" customHeight="1">
      <c r="B115" s="345" t="s">
        <v>193</v>
      </c>
      <c r="C115" s="346">
        <v>2</v>
      </c>
      <c r="D115" s="346">
        <v>10</v>
      </c>
      <c r="E115" s="341" t="s">
        <v>194</v>
      </c>
      <c r="F115" s="347" t="s">
        <v>196</v>
      </c>
      <c r="G115" s="343" t="s">
        <v>189</v>
      </c>
      <c r="H115" s="319" t="s">
        <v>44</v>
      </c>
      <c r="I115" s="344" t="s">
        <v>61</v>
      </c>
      <c r="J115" s="5"/>
      <c r="K115" s="324" t="s">
        <v>870</v>
      </c>
      <c r="L115" s="196"/>
      <c r="M115" s="348">
        <v>45838</v>
      </c>
      <c r="N115" s="349" t="s">
        <v>29</v>
      </c>
      <c r="O115" s="196"/>
      <c r="P115" s="326" t="s">
        <v>192</v>
      </c>
      <c r="Q115" s="327" t="s">
        <v>192</v>
      </c>
      <c r="R115" s="87"/>
      <c r="S115" s="87"/>
      <c r="T115" s="87"/>
      <c r="U115" s="87"/>
      <c r="V115" s="87"/>
      <c r="W115" s="87"/>
      <c r="X115" s="87"/>
      <c r="Y115" s="87"/>
    </row>
    <row r="116" spans="1:52" ht="27" customHeight="1">
      <c r="B116" s="16" t="s">
        <v>197</v>
      </c>
      <c r="C116" s="18">
        <v>1</v>
      </c>
      <c r="D116" s="18">
        <v>10</v>
      </c>
      <c r="E116" s="160" t="s">
        <v>198</v>
      </c>
      <c r="F116" s="168" t="s">
        <v>188</v>
      </c>
      <c r="G116" s="144" t="s">
        <v>199</v>
      </c>
      <c r="H116" s="225" t="s">
        <v>38</v>
      </c>
      <c r="I116" s="61" t="s">
        <v>61</v>
      </c>
      <c r="J116" s="5"/>
      <c r="K116" s="247" t="s">
        <v>192</v>
      </c>
      <c r="L116" s="245"/>
      <c r="M116" s="59" t="s">
        <v>192</v>
      </c>
      <c r="N116" s="59" t="s">
        <v>192</v>
      </c>
      <c r="O116" s="245"/>
      <c r="P116" s="285" t="s">
        <v>192</v>
      </c>
      <c r="Q116" s="286" t="s">
        <v>192</v>
      </c>
      <c r="R116" s="87"/>
      <c r="S116" s="87"/>
      <c r="T116" s="87"/>
      <c r="U116" s="87"/>
      <c r="V116" s="87"/>
      <c r="W116" s="87"/>
      <c r="X116" s="87"/>
      <c r="Y116" s="87"/>
    </row>
    <row r="117" spans="1:52" ht="27" customHeight="1">
      <c r="B117" s="8" t="s">
        <v>197</v>
      </c>
      <c r="C117" s="9">
        <v>2</v>
      </c>
      <c r="D117" s="9">
        <v>10</v>
      </c>
      <c r="E117" s="216" t="s">
        <v>200</v>
      </c>
      <c r="F117" s="224" t="s">
        <v>195</v>
      </c>
      <c r="G117" s="144" t="s">
        <v>199</v>
      </c>
      <c r="H117" s="9" t="s">
        <v>36</v>
      </c>
      <c r="I117" s="61" t="s">
        <v>61</v>
      </c>
      <c r="J117" s="5"/>
      <c r="K117" s="294" t="s">
        <v>871</v>
      </c>
      <c r="L117" s="64"/>
      <c r="M117" s="59" t="s">
        <v>192</v>
      </c>
      <c r="N117" s="59" t="s">
        <v>192</v>
      </c>
      <c r="O117" s="64"/>
      <c r="P117" s="285" t="s">
        <v>192</v>
      </c>
      <c r="Q117" s="286" t="s">
        <v>192</v>
      </c>
      <c r="R117" s="87"/>
      <c r="S117" s="87"/>
      <c r="T117" s="87"/>
      <c r="U117" s="87"/>
      <c r="V117" s="87"/>
      <c r="W117" s="87"/>
      <c r="X117" s="87"/>
      <c r="Y117" s="87"/>
    </row>
    <row r="118" spans="1:52" ht="27" customHeight="1">
      <c r="B118" s="345" t="s">
        <v>201</v>
      </c>
      <c r="C118" s="346">
        <v>1</v>
      </c>
      <c r="D118" s="346">
        <v>10</v>
      </c>
      <c r="E118" s="320" t="s">
        <v>202</v>
      </c>
      <c r="F118" s="323" t="s">
        <v>203</v>
      </c>
      <c r="G118" s="343" t="s">
        <v>204</v>
      </c>
      <c r="H118" s="344" t="s">
        <v>129</v>
      </c>
      <c r="I118" s="344" t="s">
        <v>61</v>
      </c>
      <c r="J118" s="5"/>
      <c r="K118" s="344" t="s">
        <v>872</v>
      </c>
      <c r="L118" s="64"/>
      <c r="M118" s="348">
        <v>45838</v>
      </c>
      <c r="N118" s="336" t="s">
        <v>888</v>
      </c>
      <c r="O118" s="64"/>
      <c r="P118" s="326" t="s">
        <v>192</v>
      </c>
      <c r="Q118" s="327" t="s">
        <v>192</v>
      </c>
      <c r="R118" s="87"/>
      <c r="S118" s="87"/>
      <c r="T118" s="87"/>
      <c r="U118" s="87"/>
      <c r="V118" s="87"/>
      <c r="W118" s="87"/>
      <c r="X118" s="87"/>
      <c r="Y118" s="87"/>
    </row>
    <row r="119" spans="1:52" ht="27" customHeight="1">
      <c r="B119" s="16" t="s">
        <v>205</v>
      </c>
      <c r="C119" s="18">
        <v>1</v>
      </c>
      <c r="D119" s="18">
        <v>10</v>
      </c>
      <c r="E119" s="161" t="s">
        <v>206</v>
      </c>
      <c r="F119" s="177" t="s">
        <v>56</v>
      </c>
      <c r="G119" s="144" t="s">
        <v>72</v>
      </c>
      <c r="H119" s="9" t="s">
        <v>49</v>
      </c>
      <c r="I119" s="61" t="s">
        <v>207</v>
      </c>
      <c r="J119" s="5"/>
      <c r="K119" s="233" t="s">
        <v>873</v>
      </c>
      <c r="L119" s="64"/>
      <c r="M119" s="166">
        <v>45841</v>
      </c>
      <c r="N119" s="59" t="s">
        <v>55</v>
      </c>
      <c r="O119" s="64"/>
      <c r="P119" s="285" t="s">
        <v>192</v>
      </c>
      <c r="Q119" s="286" t="s">
        <v>192</v>
      </c>
      <c r="R119" s="87"/>
      <c r="S119" s="87"/>
      <c r="T119" s="87"/>
      <c r="U119" s="87"/>
      <c r="V119" s="87"/>
      <c r="W119" s="87"/>
      <c r="X119" s="87"/>
      <c r="Y119" s="87"/>
    </row>
    <row r="120" spans="1:52" ht="27" customHeight="1">
      <c r="B120" s="350" t="s">
        <v>208</v>
      </c>
      <c r="C120" s="346">
        <v>1</v>
      </c>
      <c r="D120" s="346">
        <v>10</v>
      </c>
      <c r="E120" s="351" t="s">
        <v>209</v>
      </c>
      <c r="F120" s="352" t="s">
        <v>210</v>
      </c>
      <c r="G120" s="353" t="s">
        <v>211</v>
      </c>
      <c r="H120" s="354" t="s">
        <v>212</v>
      </c>
      <c r="I120" s="354" t="s">
        <v>79</v>
      </c>
      <c r="J120" s="5"/>
      <c r="K120" s="344" t="s">
        <v>874</v>
      </c>
      <c r="L120" s="64"/>
      <c r="M120" s="348">
        <v>45839</v>
      </c>
      <c r="N120" s="358" t="s">
        <v>55</v>
      </c>
      <c r="O120" s="64"/>
      <c r="P120" s="326" t="s">
        <v>192</v>
      </c>
      <c r="Q120" s="327" t="s">
        <v>192</v>
      </c>
      <c r="R120" s="69"/>
      <c r="S120" s="69"/>
      <c r="T120" s="69"/>
      <c r="U120" s="69"/>
      <c r="V120" s="69"/>
      <c r="W120" s="69"/>
      <c r="X120" s="69"/>
      <c r="Y120" s="69"/>
    </row>
    <row r="121" spans="1:52" ht="27" customHeight="1">
      <c r="B121" s="16" t="s">
        <v>214</v>
      </c>
      <c r="C121" s="18">
        <v>1</v>
      </c>
      <c r="D121" s="27">
        <v>10</v>
      </c>
      <c r="E121" s="43" t="s">
        <v>215</v>
      </c>
      <c r="F121" s="168" t="s">
        <v>67</v>
      </c>
      <c r="G121" s="197" t="s">
        <v>216</v>
      </c>
      <c r="H121" s="117" t="s">
        <v>36</v>
      </c>
      <c r="I121" s="117" t="s">
        <v>217</v>
      </c>
      <c r="J121" s="65"/>
      <c r="K121" s="233" t="s">
        <v>875</v>
      </c>
      <c r="L121" s="64"/>
      <c r="M121" s="292">
        <v>45845</v>
      </c>
      <c r="N121" s="59" t="s">
        <v>55</v>
      </c>
      <c r="O121" s="64"/>
      <c r="P121" s="285" t="s">
        <v>192</v>
      </c>
      <c r="Q121" s="286" t="s">
        <v>192</v>
      </c>
      <c r="R121" s="87"/>
      <c r="S121" s="87"/>
      <c r="T121" s="87"/>
      <c r="U121" s="87"/>
      <c r="V121" s="87"/>
      <c r="W121" s="87"/>
      <c r="X121" s="87"/>
      <c r="Y121" s="87"/>
    </row>
    <row r="122" spans="1:52" ht="27" customHeight="1">
      <c r="B122" s="345" t="s">
        <v>218</v>
      </c>
      <c r="C122" s="346">
        <v>1</v>
      </c>
      <c r="D122" s="346">
        <v>10</v>
      </c>
      <c r="E122" s="338" t="s">
        <v>219</v>
      </c>
      <c r="F122" s="355" t="s">
        <v>220</v>
      </c>
      <c r="G122" s="343" t="s">
        <v>216</v>
      </c>
      <c r="H122" s="356" t="s">
        <v>221</v>
      </c>
      <c r="I122" s="356" t="s">
        <v>61</v>
      </c>
      <c r="J122" s="5"/>
      <c r="K122" s="358" t="s">
        <v>192</v>
      </c>
      <c r="L122" s="64"/>
      <c r="M122" s="348" t="s">
        <v>192</v>
      </c>
      <c r="N122" s="336" t="s">
        <v>192</v>
      </c>
      <c r="O122" s="64"/>
      <c r="P122" s="326" t="s">
        <v>192</v>
      </c>
      <c r="Q122" s="327" t="s">
        <v>192</v>
      </c>
      <c r="R122" s="87"/>
      <c r="S122" s="87"/>
      <c r="T122" s="87"/>
      <c r="U122" s="87"/>
      <c r="V122" s="87"/>
      <c r="W122" s="87"/>
      <c r="X122" s="87"/>
      <c r="Y122" s="87"/>
    </row>
    <row r="123" spans="1:52" ht="27" customHeight="1">
      <c r="B123" s="16" t="s">
        <v>222</v>
      </c>
      <c r="C123" s="18">
        <v>1</v>
      </c>
      <c r="D123" s="18">
        <v>10</v>
      </c>
      <c r="E123" s="16" t="s">
        <v>223</v>
      </c>
      <c r="F123" s="177" t="s">
        <v>59</v>
      </c>
      <c r="G123" s="144" t="s">
        <v>224</v>
      </c>
      <c r="H123" s="9" t="s">
        <v>36</v>
      </c>
      <c r="I123" s="61" t="s">
        <v>61</v>
      </c>
      <c r="J123" s="5"/>
      <c r="K123" s="233" t="s">
        <v>876</v>
      </c>
      <c r="L123" s="64"/>
      <c r="M123" s="288" t="s">
        <v>192</v>
      </c>
      <c r="N123" s="117" t="s">
        <v>192</v>
      </c>
      <c r="O123" s="64"/>
      <c r="P123" s="285" t="s">
        <v>192</v>
      </c>
      <c r="Q123" s="286" t="s">
        <v>192</v>
      </c>
      <c r="R123" s="87"/>
      <c r="S123" s="87"/>
      <c r="T123" s="87"/>
      <c r="U123" s="87"/>
      <c r="V123" s="87"/>
      <c r="W123" s="87"/>
      <c r="X123" s="87"/>
      <c r="Y123" s="87"/>
    </row>
    <row r="124" spans="1:52" ht="27" customHeight="1">
      <c r="B124" s="333" t="s">
        <v>225</v>
      </c>
      <c r="C124" s="328">
        <v>1</v>
      </c>
      <c r="D124" s="328">
        <v>10</v>
      </c>
      <c r="E124" s="333" t="s">
        <v>226</v>
      </c>
      <c r="F124" s="357" t="s">
        <v>227</v>
      </c>
      <c r="G124" s="343" t="s">
        <v>228</v>
      </c>
      <c r="H124" s="354" t="s">
        <v>229</v>
      </c>
      <c r="I124" s="354" t="s">
        <v>217</v>
      </c>
      <c r="J124" s="47"/>
      <c r="K124" s="354" t="s">
        <v>877</v>
      </c>
      <c r="L124" s="195"/>
      <c r="M124" s="348">
        <v>45848</v>
      </c>
      <c r="N124" s="319" t="s">
        <v>55</v>
      </c>
      <c r="O124" s="195"/>
      <c r="P124" s="326" t="s">
        <v>192</v>
      </c>
      <c r="Q124" s="327" t="s">
        <v>192</v>
      </c>
      <c r="R124" s="87"/>
      <c r="S124" s="87"/>
      <c r="T124" s="87"/>
      <c r="U124" s="87"/>
      <c r="V124" s="87"/>
      <c r="W124" s="87"/>
      <c r="X124" s="87"/>
      <c r="Y124" s="87"/>
    </row>
    <row r="125" spans="1:52" ht="27" customHeight="1">
      <c r="A125" s="124"/>
      <c r="B125" s="44" t="s">
        <v>230</v>
      </c>
      <c r="C125" s="58">
        <v>1</v>
      </c>
      <c r="D125" s="58">
        <v>10</v>
      </c>
      <c r="E125" s="43" t="s">
        <v>231</v>
      </c>
      <c r="F125" s="42" t="s">
        <v>41</v>
      </c>
      <c r="G125" s="144" t="s">
        <v>232</v>
      </c>
      <c r="H125" s="117" t="s">
        <v>192</v>
      </c>
      <c r="I125" s="117" t="s">
        <v>61</v>
      </c>
      <c r="J125" s="49"/>
      <c r="K125" s="247" t="s">
        <v>192</v>
      </c>
      <c r="L125" s="49"/>
      <c r="M125" s="288" t="s">
        <v>192</v>
      </c>
      <c r="N125" s="117" t="s">
        <v>192</v>
      </c>
      <c r="O125" s="49"/>
      <c r="P125" s="285"/>
      <c r="Q125" s="286"/>
      <c r="R125" s="87"/>
      <c r="S125" s="87"/>
      <c r="T125" s="87"/>
      <c r="U125" s="87"/>
      <c r="V125" s="87"/>
      <c r="W125" s="87"/>
      <c r="X125" s="87"/>
      <c r="Y125" s="87"/>
    </row>
    <row r="126" spans="1:52" ht="20.5" customHeight="1">
      <c r="A126" s="124"/>
      <c r="B126" s="258" t="s">
        <v>233</v>
      </c>
      <c r="C126" s="268"/>
      <c r="D126" s="268"/>
      <c r="E126" s="260"/>
      <c r="F126" s="259"/>
      <c r="G126" s="259"/>
      <c r="H126" s="268"/>
      <c r="I126" s="268"/>
      <c r="J126" s="268"/>
      <c r="K126" s="268"/>
      <c r="L126" s="268"/>
      <c r="M126" s="268"/>
      <c r="N126" s="268"/>
      <c r="O126" s="52"/>
      <c r="P126" s="52"/>
      <c r="Q126" s="52"/>
      <c r="R126" s="87"/>
      <c r="S126" s="87"/>
      <c r="T126" s="87"/>
      <c r="U126" s="87"/>
      <c r="V126" s="87"/>
      <c r="W126" s="87"/>
      <c r="X126" s="87"/>
      <c r="Y126" s="87"/>
    </row>
    <row r="127" spans="1:52" ht="13.5" customHeight="1">
      <c r="B127" s="260"/>
      <c r="C127" s="268"/>
      <c r="D127" s="268"/>
      <c r="E127" s="260"/>
      <c r="F127" s="259"/>
      <c r="G127" s="259"/>
      <c r="H127" s="268"/>
      <c r="I127" s="268"/>
      <c r="J127" s="268"/>
      <c r="K127" s="268"/>
      <c r="L127" s="268"/>
      <c r="M127" s="268"/>
      <c r="N127" s="268"/>
      <c r="O127" s="123"/>
      <c r="P127" s="54"/>
      <c r="Q127" s="123"/>
      <c r="R127" s="87"/>
      <c r="S127" s="87"/>
      <c r="T127" s="87"/>
      <c r="U127" s="87"/>
      <c r="V127" s="87"/>
      <c r="W127" s="87"/>
      <c r="X127" s="87"/>
      <c r="Y127" s="87"/>
    </row>
    <row r="128" spans="1:52" ht="13.5" customHeight="1">
      <c r="B128" s="260"/>
      <c r="C128" s="268"/>
      <c r="D128" s="268"/>
      <c r="E128" s="260"/>
      <c r="F128" s="260"/>
      <c r="G128" s="259"/>
      <c r="H128" s="268"/>
      <c r="I128" s="268"/>
      <c r="J128" s="268"/>
      <c r="K128" s="268"/>
      <c r="L128" s="268"/>
      <c r="M128" s="268"/>
      <c r="N128" s="268"/>
      <c r="O128" s="51"/>
      <c r="P128" s="242"/>
      <c r="Q128" s="51"/>
      <c r="R128" s="87"/>
      <c r="S128" s="87"/>
      <c r="T128" s="87"/>
      <c r="U128" s="87"/>
      <c r="V128" s="87"/>
      <c r="W128" s="87"/>
      <c r="X128" s="87"/>
      <c r="Y128" s="87"/>
    </row>
    <row r="129" spans="2:25" ht="27" customHeight="1">
      <c r="B129" s="239" t="s">
        <v>817</v>
      </c>
      <c r="C129" s="257"/>
      <c r="D129" s="262"/>
      <c r="E129" s="263"/>
      <c r="F129" s="260"/>
      <c r="G129" s="259" t="s">
        <v>234</v>
      </c>
      <c r="H129" s="268"/>
      <c r="I129" s="262"/>
      <c r="J129" s="268"/>
      <c r="K129" s="268"/>
      <c r="L129" s="268"/>
      <c r="M129" s="268"/>
      <c r="N129" s="268"/>
      <c r="O129" s="100"/>
      <c r="P129" s="78"/>
      <c r="Q129" s="100"/>
      <c r="R129" s="87"/>
      <c r="S129" s="87"/>
      <c r="T129" s="87"/>
      <c r="U129" s="87"/>
      <c r="V129" s="87"/>
      <c r="W129" s="87"/>
      <c r="X129" s="87"/>
      <c r="Y129" s="87"/>
    </row>
    <row r="130" spans="2:25" ht="28" customHeight="1">
      <c r="B130" s="264"/>
      <c r="C130" s="263"/>
      <c r="D130" s="262"/>
      <c r="E130" s="263"/>
      <c r="F130" s="263"/>
      <c r="G130" s="263"/>
      <c r="H130" s="105" t="s">
        <v>7</v>
      </c>
      <c r="I130" s="71" t="s">
        <v>8</v>
      </c>
      <c r="J130" s="268"/>
      <c r="K130" s="20" t="s">
        <v>9</v>
      </c>
      <c r="L130" s="268"/>
      <c r="M130" s="431" t="s">
        <v>10</v>
      </c>
      <c r="N130" s="432"/>
      <c r="O130" s="52"/>
      <c r="P130" s="431" t="s">
        <v>914</v>
      </c>
      <c r="Q130" s="432"/>
      <c r="R130" s="87"/>
      <c r="S130" s="87"/>
      <c r="T130" s="87"/>
      <c r="U130" s="87"/>
      <c r="V130" s="87"/>
      <c r="W130" s="87"/>
      <c r="X130" s="87"/>
      <c r="Y130" s="87"/>
    </row>
    <row r="131" spans="2:25" ht="27" customHeight="1">
      <c r="B131" s="21" t="s">
        <v>11</v>
      </c>
      <c r="C131" s="20" t="s">
        <v>12</v>
      </c>
      <c r="D131" s="20" t="s">
        <v>13</v>
      </c>
      <c r="E131" s="21" t="s">
        <v>14</v>
      </c>
      <c r="F131" s="21" t="s">
        <v>15</v>
      </c>
      <c r="G131" s="22" t="s">
        <v>16</v>
      </c>
      <c r="H131" s="4" t="s">
        <v>17</v>
      </c>
      <c r="I131" s="4" t="s">
        <v>17</v>
      </c>
      <c r="J131" s="5"/>
      <c r="K131" s="20" t="s">
        <v>18</v>
      </c>
      <c r="L131" s="5"/>
      <c r="M131" s="109" t="s">
        <v>0</v>
      </c>
      <c r="N131" s="109" t="s">
        <v>1</v>
      </c>
      <c r="O131" s="6"/>
      <c r="P131" s="96" t="s">
        <v>0</v>
      </c>
      <c r="Q131" s="96" t="s">
        <v>1</v>
      </c>
      <c r="R131" s="87"/>
      <c r="S131" s="87"/>
      <c r="T131" s="87"/>
      <c r="U131" s="87"/>
      <c r="V131" s="87"/>
      <c r="W131" s="87"/>
      <c r="X131" s="87"/>
      <c r="Y131" s="87"/>
    </row>
    <row r="132" spans="2:25" ht="27" customHeight="1">
      <c r="B132" s="320" t="s">
        <v>235</v>
      </c>
      <c r="C132" s="319">
        <v>1</v>
      </c>
      <c r="D132" s="319">
        <v>12</v>
      </c>
      <c r="E132" s="320" t="s">
        <v>236</v>
      </c>
      <c r="F132" s="321" t="s">
        <v>237</v>
      </c>
      <c r="G132" s="321" t="s">
        <v>238</v>
      </c>
      <c r="H132" s="322" t="s">
        <v>129</v>
      </c>
      <c r="I132" s="319" t="s">
        <v>113</v>
      </c>
      <c r="J132" s="5"/>
      <c r="K132" s="325" t="s">
        <v>853</v>
      </c>
      <c r="L132" s="13"/>
      <c r="M132" s="326">
        <v>45473</v>
      </c>
      <c r="N132" s="327" t="s">
        <v>55</v>
      </c>
      <c r="O132" s="13"/>
      <c r="P132" s="326">
        <v>45473</v>
      </c>
      <c r="Q132" s="327">
        <v>0.72916666666666663</v>
      </c>
      <c r="R132" s="87"/>
      <c r="S132" s="87"/>
      <c r="T132" s="87"/>
      <c r="U132" s="87"/>
      <c r="V132" s="87"/>
      <c r="W132" s="87"/>
      <c r="X132" s="87"/>
      <c r="Y132" s="87"/>
    </row>
    <row r="133" spans="2:25" ht="27" customHeight="1">
      <c r="B133" s="320" t="s">
        <v>235</v>
      </c>
      <c r="C133" s="319">
        <v>2</v>
      </c>
      <c r="D133" s="319">
        <v>12</v>
      </c>
      <c r="E133" s="320" t="s">
        <v>236</v>
      </c>
      <c r="F133" s="321" t="s">
        <v>237</v>
      </c>
      <c r="G133" s="321" t="s">
        <v>238</v>
      </c>
      <c r="H133" s="322" t="s">
        <v>229</v>
      </c>
      <c r="I133" s="319" t="s">
        <v>113</v>
      </c>
      <c r="J133" s="5"/>
      <c r="K133" s="325" t="s">
        <v>853</v>
      </c>
      <c r="L133" s="13"/>
      <c r="M133" s="326">
        <v>45473</v>
      </c>
      <c r="N133" s="327" t="s">
        <v>55</v>
      </c>
      <c r="O133" s="13"/>
      <c r="P133" s="326">
        <v>45473</v>
      </c>
      <c r="Q133" s="327">
        <v>0.72916666666666663</v>
      </c>
      <c r="R133" s="87"/>
      <c r="S133" s="87"/>
      <c r="T133" s="87"/>
      <c r="U133" s="87"/>
      <c r="V133" s="87"/>
      <c r="W133" s="87"/>
      <c r="X133" s="87"/>
      <c r="Y133" s="87"/>
    </row>
    <row r="134" spans="2:25" ht="27" customHeight="1">
      <c r="B134" s="320" t="s">
        <v>235</v>
      </c>
      <c r="C134" s="319">
        <v>3</v>
      </c>
      <c r="D134" s="319">
        <v>12</v>
      </c>
      <c r="E134" s="320" t="s">
        <v>236</v>
      </c>
      <c r="F134" s="321" t="s">
        <v>239</v>
      </c>
      <c r="G134" s="321" t="s">
        <v>238</v>
      </c>
      <c r="H134" s="322" t="s">
        <v>49</v>
      </c>
      <c r="I134" s="319" t="s">
        <v>113</v>
      </c>
      <c r="J134" s="5"/>
      <c r="K134" s="325" t="s">
        <v>853</v>
      </c>
      <c r="L134" s="13"/>
      <c r="M134" s="326">
        <v>45473</v>
      </c>
      <c r="N134" s="327" t="s">
        <v>55</v>
      </c>
      <c r="O134" s="13"/>
      <c r="P134" s="326">
        <v>45473</v>
      </c>
      <c r="Q134" s="327">
        <v>0.72916666666666663</v>
      </c>
      <c r="R134" s="87"/>
      <c r="S134" s="87"/>
      <c r="T134" s="87"/>
      <c r="U134" s="87"/>
      <c r="V134" s="87"/>
      <c r="W134" s="87"/>
      <c r="X134" s="87"/>
      <c r="Y134" s="87"/>
    </row>
    <row r="135" spans="2:25" ht="27" customHeight="1">
      <c r="B135" s="320" t="s">
        <v>235</v>
      </c>
      <c r="C135" s="319">
        <v>4</v>
      </c>
      <c r="D135" s="319">
        <v>12</v>
      </c>
      <c r="E135" s="320" t="s">
        <v>236</v>
      </c>
      <c r="F135" s="321" t="s">
        <v>114</v>
      </c>
      <c r="G135" s="321" t="s">
        <v>238</v>
      </c>
      <c r="H135" s="322" t="s">
        <v>48</v>
      </c>
      <c r="I135" s="319" t="s">
        <v>113</v>
      </c>
      <c r="J135" s="5"/>
      <c r="K135" s="325" t="s">
        <v>853</v>
      </c>
      <c r="L135" s="13"/>
      <c r="M135" s="326">
        <v>45473</v>
      </c>
      <c r="N135" s="327" t="s">
        <v>55</v>
      </c>
      <c r="O135" s="13"/>
      <c r="P135" s="326">
        <v>45473</v>
      </c>
      <c r="Q135" s="327">
        <v>0.72916666666666663</v>
      </c>
      <c r="R135" s="87"/>
      <c r="S135" s="87"/>
      <c r="T135" s="87"/>
      <c r="U135" s="87"/>
      <c r="V135" s="87"/>
      <c r="W135" s="87"/>
      <c r="X135" s="87"/>
      <c r="Y135" s="87"/>
    </row>
    <row r="136" spans="2:25" ht="27" customHeight="1">
      <c r="B136" s="320" t="s">
        <v>240</v>
      </c>
      <c r="C136" s="319">
        <v>1</v>
      </c>
      <c r="D136" s="319">
        <v>10</v>
      </c>
      <c r="E136" s="320" t="s">
        <v>236</v>
      </c>
      <c r="F136" s="321" t="s">
        <v>237</v>
      </c>
      <c r="G136" s="321" t="s">
        <v>241</v>
      </c>
      <c r="H136" s="322" t="s">
        <v>129</v>
      </c>
      <c r="I136" s="319" t="s">
        <v>113</v>
      </c>
      <c r="J136" s="5"/>
      <c r="K136" s="325" t="s">
        <v>853</v>
      </c>
      <c r="L136" s="13"/>
      <c r="M136" s="326">
        <v>45473</v>
      </c>
      <c r="N136" s="327" t="s">
        <v>55</v>
      </c>
      <c r="O136" s="13"/>
      <c r="P136" s="326">
        <v>45473</v>
      </c>
      <c r="Q136" s="327">
        <v>0.72916666666666663</v>
      </c>
      <c r="R136" s="87"/>
      <c r="S136" s="87"/>
      <c r="T136" s="87"/>
      <c r="U136" s="87"/>
      <c r="V136" s="87"/>
      <c r="W136" s="87"/>
      <c r="X136" s="87"/>
      <c r="Y136" s="87"/>
    </row>
    <row r="137" spans="2:25" ht="27" customHeight="1">
      <c r="B137" s="320" t="s">
        <v>240</v>
      </c>
      <c r="C137" s="319">
        <v>2</v>
      </c>
      <c r="D137" s="319">
        <v>10</v>
      </c>
      <c r="E137" s="320" t="s">
        <v>236</v>
      </c>
      <c r="F137" s="321" t="s">
        <v>237</v>
      </c>
      <c r="G137" s="321" t="s">
        <v>241</v>
      </c>
      <c r="H137" s="322" t="s">
        <v>229</v>
      </c>
      <c r="I137" s="319" t="s">
        <v>113</v>
      </c>
      <c r="J137" s="5"/>
      <c r="K137" s="325" t="s">
        <v>853</v>
      </c>
      <c r="L137" s="13"/>
      <c r="M137" s="326">
        <v>45473</v>
      </c>
      <c r="N137" s="327" t="s">
        <v>55</v>
      </c>
      <c r="O137" s="13"/>
      <c r="P137" s="326">
        <v>45473</v>
      </c>
      <c r="Q137" s="327">
        <v>0.72916666666666663</v>
      </c>
      <c r="R137" s="87"/>
      <c r="S137" s="87"/>
      <c r="T137" s="87"/>
      <c r="U137" s="87"/>
      <c r="V137" s="87"/>
      <c r="W137" s="87"/>
      <c r="X137" s="87"/>
      <c r="Y137" s="87"/>
    </row>
    <row r="138" spans="2:25" ht="27" customHeight="1">
      <c r="B138" s="320" t="s">
        <v>240</v>
      </c>
      <c r="C138" s="319">
        <v>3</v>
      </c>
      <c r="D138" s="319">
        <v>10</v>
      </c>
      <c r="E138" s="320" t="s">
        <v>236</v>
      </c>
      <c r="F138" s="321" t="s">
        <v>239</v>
      </c>
      <c r="G138" s="321" t="s">
        <v>241</v>
      </c>
      <c r="H138" s="322" t="s">
        <v>49</v>
      </c>
      <c r="I138" s="319" t="s">
        <v>113</v>
      </c>
      <c r="J138" s="5"/>
      <c r="K138" s="325" t="s">
        <v>853</v>
      </c>
      <c r="L138" s="13"/>
      <c r="M138" s="326">
        <v>45473</v>
      </c>
      <c r="N138" s="327" t="s">
        <v>55</v>
      </c>
      <c r="O138" s="13"/>
      <c r="P138" s="326">
        <v>45473</v>
      </c>
      <c r="Q138" s="327">
        <v>0.72916666666666663</v>
      </c>
      <c r="R138" s="87"/>
      <c r="S138" s="87"/>
      <c r="T138" s="87"/>
      <c r="U138" s="87"/>
      <c r="V138" s="87"/>
      <c r="W138" s="87"/>
      <c r="X138" s="87"/>
      <c r="Y138" s="87"/>
    </row>
    <row r="139" spans="2:25" ht="27" customHeight="1">
      <c r="B139" s="320" t="s">
        <v>240</v>
      </c>
      <c r="C139" s="319">
        <v>4</v>
      </c>
      <c r="D139" s="319">
        <v>10</v>
      </c>
      <c r="E139" s="320" t="s">
        <v>236</v>
      </c>
      <c r="F139" s="321" t="s">
        <v>114</v>
      </c>
      <c r="G139" s="321" t="s">
        <v>241</v>
      </c>
      <c r="H139" s="322" t="s">
        <v>48</v>
      </c>
      <c r="I139" s="319" t="s">
        <v>113</v>
      </c>
      <c r="J139" s="5"/>
      <c r="K139" s="325" t="s">
        <v>853</v>
      </c>
      <c r="L139" s="13"/>
      <c r="M139" s="326">
        <v>45473</v>
      </c>
      <c r="N139" s="327" t="s">
        <v>55</v>
      </c>
      <c r="O139" s="13"/>
      <c r="P139" s="326">
        <v>45473</v>
      </c>
      <c r="Q139" s="327">
        <v>0.72916666666666663</v>
      </c>
      <c r="R139" s="87"/>
      <c r="S139" s="87"/>
      <c r="T139" s="87"/>
      <c r="U139" s="87"/>
      <c r="V139" s="87"/>
      <c r="W139" s="87"/>
      <c r="X139" s="87"/>
      <c r="Y139" s="87"/>
    </row>
    <row r="140" spans="2:25" ht="27" customHeight="1">
      <c r="B140" s="16" t="s">
        <v>242</v>
      </c>
      <c r="C140" s="18">
        <v>1</v>
      </c>
      <c r="D140" s="18">
        <v>12</v>
      </c>
      <c r="E140" s="16" t="s">
        <v>243</v>
      </c>
      <c r="F140" s="8" t="s">
        <v>244</v>
      </c>
      <c r="G140" s="144" t="s">
        <v>245</v>
      </c>
      <c r="H140" s="61" t="s">
        <v>128</v>
      </c>
      <c r="I140" s="61" t="s">
        <v>246</v>
      </c>
      <c r="J140" s="5"/>
      <c r="K140" s="181" t="s">
        <v>853</v>
      </c>
      <c r="L140" s="5"/>
      <c r="M140" s="15">
        <v>45473</v>
      </c>
      <c r="N140" s="9" t="s">
        <v>55</v>
      </c>
      <c r="O140" s="6"/>
      <c r="P140" s="15">
        <v>45473</v>
      </c>
      <c r="Q140" s="286">
        <v>0.72916666666666663</v>
      </c>
      <c r="R140" s="69"/>
      <c r="S140" s="69"/>
      <c r="T140" s="69"/>
      <c r="U140" s="69"/>
      <c r="V140" s="69"/>
      <c r="W140" s="69"/>
      <c r="X140" s="69"/>
      <c r="Y140" s="69"/>
    </row>
    <row r="141" spans="2:25" ht="27" customHeight="1">
      <c r="B141" s="16" t="s">
        <v>242</v>
      </c>
      <c r="C141" s="18">
        <v>2</v>
      </c>
      <c r="D141" s="18">
        <v>12</v>
      </c>
      <c r="E141" s="16" t="s">
        <v>243</v>
      </c>
      <c r="F141" s="222" t="s">
        <v>174</v>
      </c>
      <c r="G141" s="144" t="s">
        <v>245</v>
      </c>
      <c r="H141" s="61" t="s">
        <v>128</v>
      </c>
      <c r="I141" s="61" t="s">
        <v>246</v>
      </c>
      <c r="J141" s="5"/>
      <c r="K141" s="181" t="s">
        <v>853</v>
      </c>
      <c r="L141" s="5"/>
      <c r="M141" s="15">
        <v>45473</v>
      </c>
      <c r="N141" s="9" t="s">
        <v>55</v>
      </c>
      <c r="O141" s="6"/>
      <c r="P141" s="15">
        <v>45473</v>
      </c>
      <c r="Q141" s="286">
        <v>0.72916666666666663</v>
      </c>
      <c r="R141" s="129"/>
      <c r="S141" s="129"/>
      <c r="T141" s="129"/>
      <c r="U141" s="129"/>
      <c r="V141" s="129"/>
      <c r="W141" s="129"/>
      <c r="X141" s="129"/>
      <c r="Y141" s="129"/>
    </row>
    <row r="142" spans="2:25" ht="27" customHeight="1">
      <c r="B142" s="16" t="s">
        <v>242</v>
      </c>
      <c r="C142" s="18">
        <v>3</v>
      </c>
      <c r="D142" s="18">
        <v>12</v>
      </c>
      <c r="E142" s="16" t="s">
        <v>243</v>
      </c>
      <c r="F142" s="8" t="s">
        <v>169</v>
      </c>
      <c r="G142" s="144" t="s">
        <v>245</v>
      </c>
      <c r="H142" s="61" t="s">
        <v>128</v>
      </c>
      <c r="I142" s="61" t="s">
        <v>246</v>
      </c>
      <c r="J142" s="5"/>
      <c r="K142" s="181" t="s">
        <v>853</v>
      </c>
      <c r="L142" s="5"/>
      <c r="M142" s="15">
        <v>45473</v>
      </c>
      <c r="N142" s="9" t="s">
        <v>55</v>
      </c>
      <c r="O142" s="6"/>
      <c r="P142" s="15">
        <v>45473</v>
      </c>
      <c r="Q142" s="286">
        <v>0.72916666666666663</v>
      </c>
      <c r="R142" s="51"/>
      <c r="S142" s="51"/>
      <c r="T142" s="51"/>
      <c r="U142" s="51"/>
      <c r="V142" s="51"/>
      <c r="W142" s="51"/>
      <c r="X142" s="51"/>
      <c r="Y142" s="51"/>
    </row>
    <row r="143" spans="2:25" ht="27" customHeight="1">
      <c r="B143" s="16" t="s">
        <v>247</v>
      </c>
      <c r="C143" s="18">
        <v>1</v>
      </c>
      <c r="D143" s="18">
        <v>10</v>
      </c>
      <c r="E143" s="16" t="s">
        <v>243</v>
      </c>
      <c r="F143" s="8" t="s">
        <v>244</v>
      </c>
      <c r="G143" s="144" t="s">
        <v>248</v>
      </c>
      <c r="H143" s="61" t="s">
        <v>128</v>
      </c>
      <c r="I143" s="61" t="s">
        <v>246</v>
      </c>
      <c r="J143" s="5"/>
      <c r="K143" s="181" t="s">
        <v>853</v>
      </c>
      <c r="L143" s="5"/>
      <c r="M143" s="15">
        <v>45473</v>
      </c>
      <c r="N143" s="9" t="s">
        <v>55</v>
      </c>
      <c r="O143" s="6"/>
      <c r="P143" s="15">
        <v>45473</v>
      </c>
      <c r="Q143" s="286">
        <v>0.72916666666666663</v>
      </c>
      <c r="R143" s="51"/>
      <c r="S143" s="51"/>
      <c r="T143" s="51"/>
      <c r="U143" s="51"/>
      <c r="V143" s="51"/>
      <c r="W143" s="51"/>
      <c r="X143" s="51"/>
      <c r="Y143" s="51"/>
    </row>
    <row r="144" spans="2:25" ht="27" customHeight="1">
      <c r="B144" s="16" t="s">
        <v>247</v>
      </c>
      <c r="C144" s="18">
        <v>2</v>
      </c>
      <c r="D144" s="18">
        <v>10</v>
      </c>
      <c r="E144" s="16" t="s">
        <v>243</v>
      </c>
      <c r="F144" s="222" t="s">
        <v>174</v>
      </c>
      <c r="G144" s="144" t="s">
        <v>248</v>
      </c>
      <c r="H144" s="61" t="s">
        <v>128</v>
      </c>
      <c r="I144" s="61" t="s">
        <v>246</v>
      </c>
      <c r="J144" s="5"/>
      <c r="K144" s="181" t="s">
        <v>853</v>
      </c>
      <c r="L144" s="5"/>
      <c r="M144" s="15">
        <v>45473</v>
      </c>
      <c r="N144" s="9" t="s">
        <v>55</v>
      </c>
      <c r="O144" s="6"/>
      <c r="P144" s="15">
        <v>45473</v>
      </c>
      <c r="Q144" s="286">
        <v>0.72916666666666663</v>
      </c>
      <c r="R144" s="51"/>
      <c r="S144" s="51"/>
      <c r="T144" s="51"/>
      <c r="U144" s="51"/>
      <c r="V144" s="51"/>
      <c r="W144" s="51"/>
      <c r="X144" s="51"/>
      <c r="Y144" s="51"/>
    </row>
    <row r="145" spans="2:25" ht="27" customHeight="1">
      <c r="B145" s="16" t="s">
        <v>247</v>
      </c>
      <c r="C145" s="18">
        <v>3</v>
      </c>
      <c r="D145" s="18">
        <v>10</v>
      </c>
      <c r="E145" s="16" t="s">
        <v>243</v>
      </c>
      <c r="F145" s="8" t="s">
        <v>169</v>
      </c>
      <c r="G145" s="144" t="s">
        <v>248</v>
      </c>
      <c r="H145" s="61" t="s">
        <v>128</v>
      </c>
      <c r="I145" s="61" t="s">
        <v>246</v>
      </c>
      <c r="J145" s="5"/>
      <c r="K145" s="181" t="s">
        <v>853</v>
      </c>
      <c r="L145" s="5"/>
      <c r="M145" s="15">
        <v>45473</v>
      </c>
      <c r="N145" s="9" t="s">
        <v>55</v>
      </c>
      <c r="O145" s="6"/>
      <c r="P145" s="15">
        <v>45473</v>
      </c>
      <c r="Q145" s="286">
        <v>0.72916666666666663</v>
      </c>
      <c r="R145" s="51"/>
      <c r="S145" s="51"/>
      <c r="T145" s="51"/>
      <c r="U145" s="51"/>
      <c r="V145" s="51"/>
      <c r="W145" s="51"/>
      <c r="X145" s="51"/>
      <c r="Y145" s="51"/>
    </row>
    <row r="146" spans="2:25" ht="27" customHeight="1">
      <c r="B146" s="320" t="s">
        <v>249</v>
      </c>
      <c r="C146" s="319">
        <v>1</v>
      </c>
      <c r="D146" s="319">
        <v>12</v>
      </c>
      <c r="E146" s="320" t="s">
        <v>250</v>
      </c>
      <c r="F146" s="321" t="s">
        <v>87</v>
      </c>
      <c r="G146" s="321" t="s">
        <v>251</v>
      </c>
      <c r="H146" s="322" t="s">
        <v>31</v>
      </c>
      <c r="I146" s="319" t="s">
        <v>80</v>
      </c>
      <c r="J146" s="5"/>
      <c r="K146" s="325" t="s">
        <v>854</v>
      </c>
      <c r="L146" s="13"/>
      <c r="M146" s="326">
        <v>45475</v>
      </c>
      <c r="N146" s="327" t="s">
        <v>29</v>
      </c>
      <c r="O146" s="13"/>
      <c r="P146" s="326">
        <v>45475</v>
      </c>
      <c r="Q146" s="327">
        <v>0.72916666666666663</v>
      </c>
      <c r="R146" s="87"/>
      <c r="S146" s="87"/>
      <c r="T146" s="87"/>
      <c r="U146" s="87"/>
      <c r="V146" s="87"/>
      <c r="W146" s="87"/>
      <c r="X146" s="87"/>
      <c r="Y146" s="87"/>
    </row>
    <row r="147" spans="2:25" ht="27" customHeight="1">
      <c r="B147" s="320" t="s">
        <v>249</v>
      </c>
      <c r="C147" s="319">
        <v>2</v>
      </c>
      <c r="D147" s="319">
        <v>12</v>
      </c>
      <c r="E147" s="320" t="s">
        <v>250</v>
      </c>
      <c r="F147" s="321" t="s">
        <v>252</v>
      </c>
      <c r="G147" s="321" t="s">
        <v>251</v>
      </c>
      <c r="H147" s="322" t="s">
        <v>27</v>
      </c>
      <c r="I147" s="319" t="s">
        <v>80</v>
      </c>
      <c r="J147" s="5"/>
      <c r="K147" s="325" t="s">
        <v>854</v>
      </c>
      <c r="L147" s="13"/>
      <c r="M147" s="326">
        <v>45475</v>
      </c>
      <c r="N147" s="327" t="s">
        <v>29</v>
      </c>
      <c r="O147" s="13"/>
      <c r="P147" s="326">
        <v>45475</v>
      </c>
      <c r="Q147" s="327">
        <v>0.72916666666666663</v>
      </c>
      <c r="R147" s="87"/>
      <c r="S147" s="87"/>
      <c r="T147" s="87"/>
      <c r="U147" s="87"/>
      <c r="V147" s="87"/>
      <c r="W147" s="87"/>
      <c r="X147" s="87"/>
      <c r="Y147" s="87"/>
    </row>
    <row r="148" spans="2:25" ht="27" customHeight="1">
      <c r="B148" s="320" t="s">
        <v>249</v>
      </c>
      <c r="C148" s="319">
        <v>3</v>
      </c>
      <c r="D148" s="319">
        <v>12</v>
      </c>
      <c r="E148" s="320" t="s">
        <v>250</v>
      </c>
      <c r="F148" s="321" t="s">
        <v>252</v>
      </c>
      <c r="G148" s="321" t="s">
        <v>251</v>
      </c>
      <c r="H148" s="322" t="s">
        <v>36</v>
      </c>
      <c r="I148" s="319" t="s">
        <v>80</v>
      </c>
      <c r="J148" s="5"/>
      <c r="K148" s="325" t="s">
        <v>854</v>
      </c>
      <c r="L148" s="13"/>
      <c r="M148" s="326">
        <v>45475</v>
      </c>
      <c r="N148" s="327" t="s">
        <v>29</v>
      </c>
      <c r="O148" s="13"/>
      <c r="P148" s="326">
        <v>45475</v>
      </c>
      <c r="Q148" s="327">
        <v>0.72916666666666663</v>
      </c>
      <c r="R148" s="87"/>
      <c r="S148" s="87"/>
      <c r="T148" s="87"/>
      <c r="U148" s="87"/>
      <c r="V148" s="87"/>
      <c r="W148" s="87"/>
      <c r="X148" s="87"/>
      <c r="Y148" s="87"/>
    </row>
    <row r="149" spans="2:25" ht="27" customHeight="1">
      <c r="B149" s="320" t="s">
        <v>249</v>
      </c>
      <c r="C149" s="319">
        <v>4</v>
      </c>
      <c r="D149" s="319">
        <v>12</v>
      </c>
      <c r="E149" s="320" t="s">
        <v>250</v>
      </c>
      <c r="F149" s="321" t="s">
        <v>253</v>
      </c>
      <c r="G149" s="321" t="s">
        <v>251</v>
      </c>
      <c r="H149" s="322" t="s">
        <v>34</v>
      </c>
      <c r="I149" s="319" t="s">
        <v>80</v>
      </c>
      <c r="J149" s="5"/>
      <c r="K149" s="325" t="s">
        <v>854</v>
      </c>
      <c r="L149" s="13"/>
      <c r="M149" s="326">
        <v>45475</v>
      </c>
      <c r="N149" s="327" t="s">
        <v>29</v>
      </c>
      <c r="O149" s="13"/>
      <c r="P149" s="326">
        <v>45475</v>
      </c>
      <c r="Q149" s="327">
        <v>0.72916666666666663</v>
      </c>
      <c r="R149" s="87"/>
      <c r="S149" s="87"/>
      <c r="T149" s="87"/>
      <c r="U149" s="87"/>
      <c r="V149" s="87"/>
      <c r="W149" s="87"/>
      <c r="X149" s="87"/>
      <c r="Y149" s="87"/>
    </row>
    <row r="150" spans="2:25" ht="27" customHeight="1">
      <c r="B150" s="320" t="s">
        <v>249</v>
      </c>
      <c r="C150" s="319">
        <v>5</v>
      </c>
      <c r="D150" s="319">
        <v>12</v>
      </c>
      <c r="E150" s="320" t="s">
        <v>250</v>
      </c>
      <c r="F150" s="321" t="s">
        <v>838</v>
      </c>
      <c r="G150" s="321" t="s">
        <v>251</v>
      </c>
      <c r="H150" s="322" t="s">
        <v>48</v>
      </c>
      <c r="I150" s="319" t="s">
        <v>80</v>
      </c>
      <c r="J150" s="5"/>
      <c r="K150" s="325" t="s">
        <v>854</v>
      </c>
      <c r="L150" s="13"/>
      <c r="M150" s="326">
        <v>45475</v>
      </c>
      <c r="N150" s="327" t="s">
        <v>29</v>
      </c>
      <c r="O150" s="13"/>
      <c r="P150" s="326">
        <v>45475</v>
      </c>
      <c r="Q150" s="327">
        <v>0.72916666666666663</v>
      </c>
      <c r="R150" s="87"/>
      <c r="S150" s="87"/>
      <c r="T150" s="87"/>
      <c r="U150" s="87"/>
      <c r="V150" s="87"/>
      <c r="W150" s="87"/>
      <c r="X150" s="87"/>
      <c r="Y150" s="87"/>
    </row>
    <row r="151" spans="2:25" ht="27" customHeight="1">
      <c r="B151" s="320" t="s">
        <v>254</v>
      </c>
      <c r="C151" s="319">
        <v>1</v>
      </c>
      <c r="D151" s="319">
        <v>10</v>
      </c>
      <c r="E151" s="320" t="s">
        <v>255</v>
      </c>
      <c r="F151" s="321" t="s">
        <v>87</v>
      </c>
      <c r="G151" s="321" t="s">
        <v>256</v>
      </c>
      <c r="H151" s="322" t="s">
        <v>31</v>
      </c>
      <c r="I151" s="319" t="s">
        <v>80</v>
      </c>
      <c r="J151" s="5"/>
      <c r="K151" s="325" t="s">
        <v>854</v>
      </c>
      <c r="L151" s="13"/>
      <c r="M151" s="326">
        <v>45475</v>
      </c>
      <c r="N151" s="327" t="s">
        <v>29</v>
      </c>
      <c r="O151" s="13"/>
      <c r="P151" s="326">
        <v>45475</v>
      </c>
      <c r="Q151" s="327">
        <v>0.72916666666666663</v>
      </c>
      <c r="R151" s="87"/>
      <c r="S151" s="87"/>
      <c r="T151" s="87"/>
      <c r="U151" s="87"/>
      <c r="V151" s="87"/>
      <c r="W151" s="87"/>
      <c r="X151" s="87"/>
      <c r="Y151" s="87"/>
    </row>
    <row r="152" spans="2:25" ht="27" customHeight="1">
      <c r="B152" s="320" t="s">
        <v>254</v>
      </c>
      <c r="C152" s="319">
        <v>2</v>
      </c>
      <c r="D152" s="319">
        <v>10</v>
      </c>
      <c r="E152" s="320" t="s">
        <v>255</v>
      </c>
      <c r="F152" s="321" t="s">
        <v>252</v>
      </c>
      <c r="G152" s="321" t="s">
        <v>256</v>
      </c>
      <c r="H152" s="322" t="s">
        <v>27</v>
      </c>
      <c r="I152" s="319" t="s">
        <v>80</v>
      </c>
      <c r="J152" s="5"/>
      <c r="K152" s="325" t="s">
        <v>854</v>
      </c>
      <c r="L152" s="13"/>
      <c r="M152" s="326">
        <v>45475</v>
      </c>
      <c r="N152" s="327" t="s">
        <v>29</v>
      </c>
      <c r="O152" s="13"/>
      <c r="P152" s="326">
        <v>45475</v>
      </c>
      <c r="Q152" s="327">
        <v>0.72916666666666663</v>
      </c>
      <c r="R152" s="87"/>
      <c r="S152" s="87"/>
      <c r="T152" s="87"/>
      <c r="U152" s="87"/>
      <c r="V152" s="87"/>
      <c r="W152" s="87"/>
      <c r="X152" s="87"/>
      <c r="Y152" s="87"/>
    </row>
    <row r="153" spans="2:25" ht="27" customHeight="1">
      <c r="B153" s="320" t="s">
        <v>254</v>
      </c>
      <c r="C153" s="319">
        <v>3</v>
      </c>
      <c r="D153" s="319">
        <v>10</v>
      </c>
      <c r="E153" s="320" t="s">
        <v>255</v>
      </c>
      <c r="F153" s="321" t="s">
        <v>252</v>
      </c>
      <c r="G153" s="321" t="s">
        <v>256</v>
      </c>
      <c r="H153" s="322" t="s">
        <v>36</v>
      </c>
      <c r="I153" s="319" t="s">
        <v>80</v>
      </c>
      <c r="J153" s="5"/>
      <c r="K153" s="325" t="s">
        <v>854</v>
      </c>
      <c r="L153" s="13"/>
      <c r="M153" s="326">
        <v>45475</v>
      </c>
      <c r="N153" s="327" t="s">
        <v>29</v>
      </c>
      <c r="O153" s="13"/>
      <c r="P153" s="326">
        <v>45475</v>
      </c>
      <c r="Q153" s="327">
        <v>0.72916666666666663</v>
      </c>
      <c r="R153" s="87"/>
      <c r="S153" s="87"/>
      <c r="T153" s="87"/>
      <c r="U153" s="87"/>
      <c r="V153" s="87"/>
      <c r="W153" s="87"/>
      <c r="X153" s="87"/>
      <c r="Y153" s="87"/>
    </row>
    <row r="154" spans="2:25" ht="27" customHeight="1">
      <c r="B154" s="320" t="s">
        <v>254</v>
      </c>
      <c r="C154" s="319">
        <v>4</v>
      </c>
      <c r="D154" s="319">
        <v>10</v>
      </c>
      <c r="E154" s="320" t="s">
        <v>255</v>
      </c>
      <c r="F154" s="321" t="s">
        <v>253</v>
      </c>
      <c r="G154" s="321" t="s">
        <v>251</v>
      </c>
      <c r="H154" s="322" t="s">
        <v>34</v>
      </c>
      <c r="I154" s="319" t="s">
        <v>80</v>
      </c>
      <c r="J154" s="5"/>
      <c r="K154" s="325" t="s">
        <v>854</v>
      </c>
      <c r="L154" s="13"/>
      <c r="M154" s="326">
        <v>45475</v>
      </c>
      <c r="N154" s="327" t="s">
        <v>29</v>
      </c>
      <c r="O154" s="13"/>
      <c r="P154" s="326">
        <v>45475</v>
      </c>
      <c r="Q154" s="327">
        <v>0.72916666666666663</v>
      </c>
      <c r="R154" s="87"/>
      <c r="S154" s="87"/>
      <c r="T154" s="87"/>
      <c r="U154" s="87"/>
      <c r="V154" s="87"/>
      <c r="W154" s="87"/>
      <c r="X154" s="87"/>
      <c r="Y154" s="87"/>
    </row>
    <row r="155" spans="2:25" ht="27" customHeight="1">
      <c r="B155" s="320" t="s">
        <v>254</v>
      </c>
      <c r="C155" s="319">
        <v>5</v>
      </c>
      <c r="D155" s="319">
        <v>10</v>
      </c>
      <c r="E155" s="333" t="s">
        <v>255</v>
      </c>
      <c r="F155" s="357" t="s">
        <v>838</v>
      </c>
      <c r="G155" s="357" t="s">
        <v>251</v>
      </c>
      <c r="H155" s="374" t="s">
        <v>48</v>
      </c>
      <c r="I155" s="328" t="s">
        <v>80</v>
      </c>
      <c r="J155" s="47"/>
      <c r="K155" s="325" t="s">
        <v>854</v>
      </c>
      <c r="L155" s="48"/>
      <c r="M155" s="329">
        <v>45475</v>
      </c>
      <c r="N155" s="327" t="s">
        <v>29</v>
      </c>
      <c r="O155" s="13"/>
      <c r="P155" s="326">
        <v>45475</v>
      </c>
      <c r="Q155" s="327">
        <v>0.72916666666666663</v>
      </c>
      <c r="R155" s="87"/>
      <c r="S155" s="87"/>
      <c r="T155" s="87"/>
      <c r="U155" s="87"/>
      <c r="V155" s="87"/>
      <c r="W155" s="87"/>
      <c r="X155" s="87"/>
      <c r="Y155" s="87"/>
    </row>
    <row r="156" spans="2:25" ht="27" customHeight="1">
      <c r="B156" s="16" t="s">
        <v>257</v>
      </c>
      <c r="C156" s="18">
        <v>1</v>
      </c>
      <c r="D156" s="27">
        <v>10</v>
      </c>
      <c r="E156" s="43" t="s">
        <v>258</v>
      </c>
      <c r="F156" s="44" t="s">
        <v>126</v>
      </c>
      <c r="G156" s="197" t="s">
        <v>259</v>
      </c>
      <c r="H156" s="117" t="s">
        <v>128</v>
      </c>
      <c r="I156" s="117" t="s">
        <v>123</v>
      </c>
      <c r="J156" s="49"/>
      <c r="K156" s="59" t="s">
        <v>851</v>
      </c>
      <c r="L156" s="49"/>
      <c r="M156" s="288">
        <v>45480</v>
      </c>
      <c r="N156" s="289" t="s">
        <v>29</v>
      </c>
      <c r="O156" s="6"/>
      <c r="P156" s="288">
        <v>45480</v>
      </c>
      <c r="Q156" s="286">
        <v>0.72916666666666663</v>
      </c>
      <c r="R156" s="87"/>
      <c r="S156" s="87"/>
      <c r="T156" s="87"/>
      <c r="U156" s="87"/>
      <c r="V156" s="87"/>
      <c r="W156" s="87"/>
      <c r="X156" s="87"/>
      <c r="Y156" s="87"/>
    </row>
    <row r="157" spans="2:25" ht="27" customHeight="1">
      <c r="B157" s="16" t="s">
        <v>257</v>
      </c>
      <c r="C157" s="18">
        <v>2</v>
      </c>
      <c r="D157" s="27">
        <v>10</v>
      </c>
      <c r="E157" s="43" t="s">
        <v>258</v>
      </c>
      <c r="F157" s="44" t="s">
        <v>126</v>
      </c>
      <c r="G157" s="197" t="s">
        <v>259</v>
      </c>
      <c r="H157" s="117" t="s">
        <v>129</v>
      </c>
      <c r="I157" s="117" t="s">
        <v>123</v>
      </c>
      <c r="J157" s="49"/>
      <c r="K157" s="59" t="s">
        <v>851</v>
      </c>
      <c r="L157" s="49"/>
      <c r="M157" s="288">
        <v>45480</v>
      </c>
      <c r="N157" s="289" t="s">
        <v>29</v>
      </c>
      <c r="O157" s="6"/>
      <c r="P157" s="288">
        <v>45480</v>
      </c>
      <c r="Q157" s="286">
        <v>0.72916666666666663</v>
      </c>
      <c r="R157" s="87"/>
      <c r="S157" s="87"/>
      <c r="T157" s="87"/>
      <c r="U157" s="87"/>
      <c r="V157" s="87"/>
      <c r="W157" s="87"/>
      <c r="X157" s="87"/>
      <c r="Y157" s="87"/>
    </row>
    <row r="158" spans="2:25" ht="27" customHeight="1">
      <c r="B158" s="16" t="s">
        <v>257</v>
      </c>
      <c r="C158" s="18">
        <v>3</v>
      </c>
      <c r="D158" s="27">
        <v>10</v>
      </c>
      <c r="E158" s="43" t="s">
        <v>258</v>
      </c>
      <c r="F158" s="44" t="s">
        <v>130</v>
      </c>
      <c r="G158" s="197" t="s">
        <v>259</v>
      </c>
      <c r="H158" s="117" t="s">
        <v>131</v>
      </c>
      <c r="I158" s="117" t="s">
        <v>123</v>
      </c>
      <c r="J158" s="49"/>
      <c r="K158" s="59" t="s">
        <v>851</v>
      </c>
      <c r="L158" s="49"/>
      <c r="M158" s="288">
        <v>45480</v>
      </c>
      <c r="N158" s="289" t="s">
        <v>29</v>
      </c>
      <c r="O158" s="6"/>
      <c r="P158" s="288">
        <v>45480</v>
      </c>
      <c r="Q158" s="286">
        <v>0.72916666666666663</v>
      </c>
      <c r="R158" s="87"/>
      <c r="S158" s="87"/>
      <c r="T158" s="87"/>
      <c r="U158" s="87"/>
      <c r="V158" s="87"/>
      <c r="W158" s="87"/>
      <c r="X158" s="87"/>
      <c r="Y158" s="87"/>
    </row>
    <row r="159" spans="2:25" ht="27" customHeight="1">
      <c r="B159" s="320" t="s">
        <v>260</v>
      </c>
      <c r="C159" s="319">
        <v>1</v>
      </c>
      <c r="D159" s="319">
        <v>5</v>
      </c>
      <c r="E159" s="334" t="s">
        <v>261</v>
      </c>
      <c r="F159" s="376" t="s">
        <v>262</v>
      </c>
      <c r="G159" s="376" t="s">
        <v>263</v>
      </c>
      <c r="H159" s="377" t="s">
        <v>264</v>
      </c>
      <c r="I159" s="324" t="s">
        <v>246</v>
      </c>
      <c r="J159" s="156"/>
      <c r="K159" s="378" t="s">
        <v>497</v>
      </c>
      <c r="L159" s="318"/>
      <c r="M159" s="331" t="s">
        <v>192</v>
      </c>
      <c r="N159" s="327" t="s">
        <v>192</v>
      </c>
      <c r="O159" s="13"/>
      <c r="P159" s="326">
        <v>45806</v>
      </c>
      <c r="Q159" s="327">
        <v>0.72916666666666663</v>
      </c>
      <c r="R159" s="87"/>
      <c r="S159" s="87"/>
      <c r="T159" s="87"/>
      <c r="U159" s="87"/>
      <c r="V159" s="87"/>
      <c r="W159" s="87"/>
      <c r="X159" s="87"/>
      <c r="Y159" s="87"/>
    </row>
    <row r="160" spans="2:25" ht="27" customHeight="1">
      <c r="B160" s="320" t="s">
        <v>260</v>
      </c>
      <c r="C160" s="319">
        <v>2</v>
      </c>
      <c r="D160" s="319">
        <v>5</v>
      </c>
      <c r="E160" s="320" t="s">
        <v>261</v>
      </c>
      <c r="F160" s="321" t="s">
        <v>30</v>
      </c>
      <c r="G160" s="321" t="s">
        <v>263</v>
      </c>
      <c r="H160" s="322" t="s">
        <v>265</v>
      </c>
      <c r="I160" s="319" t="s">
        <v>246</v>
      </c>
      <c r="J160" s="5"/>
      <c r="K160" s="325" t="s">
        <v>497</v>
      </c>
      <c r="L160" s="13"/>
      <c r="M160" s="326" t="s">
        <v>192</v>
      </c>
      <c r="N160" s="327" t="s">
        <v>192</v>
      </c>
      <c r="O160" s="13"/>
      <c r="P160" s="326">
        <v>45806</v>
      </c>
      <c r="Q160" s="327">
        <v>0.72916666666666663</v>
      </c>
      <c r="R160" s="87"/>
      <c r="S160" s="87"/>
      <c r="T160" s="87"/>
      <c r="U160" s="87"/>
      <c r="V160" s="87"/>
      <c r="W160" s="87"/>
      <c r="X160" s="87"/>
      <c r="Y160" s="87"/>
    </row>
    <row r="161" spans="2:25" ht="27" customHeight="1">
      <c r="B161" s="320" t="s">
        <v>260</v>
      </c>
      <c r="C161" s="319">
        <v>3</v>
      </c>
      <c r="D161" s="319">
        <v>5</v>
      </c>
      <c r="E161" s="320" t="s">
        <v>261</v>
      </c>
      <c r="F161" s="321" t="s">
        <v>30</v>
      </c>
      <c r="G161" s="321" t="s">
        <v>263</v>
      </c>
      <c r="H161" s="322" t="s">
        <v>266</v>
      </c>
      <c r="I161" s="319" t="s">
        <v>246</v>
      </c>
      <c r="J161" s="5"/>
      <c r="K161" s="325" t="s">
        <v>497</v>
      </c>
      <c r="L161" s="13"/>
      <c r="M161" s="326" t="s">
        <v>192</v>
      </c>
      <c r="N161" s="327" t="s">
        <v>192</v>
      </c>
      <c r="O161" s="13"/>
      <c r="P161" s="326">
        <v>45806</v>
      </c>
      <c r="Q161" s="327">
        <v>0.72916666666666663</v>
      </c>
      <c r="R161" s="87"/>
      <c r="S161" s="87"/>
      <c r="T161" s="87"/>
      <c r="U161" s="87"/>
      <c r="V161" s="87"/>
      <c r="W161" s="87"/>
      <c r="X161" s="87"/>
      <c r="Y161" s="87"/>
    </row>
    <row r="162" spans="2:25" ht="27" customHeight="1">
      <c r="B162" s="320" t="s">
        <v>260</v>
      </c>
      <c r="C162" s="319">
        <v>4</v>
      </c>
      <c r="D162" s="319">
        <v>5</v>
      </c>
      <c r="E162" s="320" t="s">
        <v>261</v>
      </c>
      <c r="F162" s="321" t="s">
        <v>32</v>
      </c>
      <c r="G162" s="321" t="s">
        <v>263</v>
      </c>
      <c r="H162" s="322" t="s">
        <v>229</v>
      </c>
      <c r="I162" s="319" t="s">
        <v>246</v>
      </c>
      <c r="J162" s="5"/>
      <c r="K162" s="325" t="s">
        <v>497</v>
      </c>
      <c r="L162" s="13"/>
      <c r="M162" s="326" t="s">
        <v>192</v>
      </c>
      <c r="N162" s="327" t="s">
        <v>192</v>
      </c>
      <c r="O162" s="13"/>
      <c r="P162" s="326">
        <v>45806</v>
      </c>
      <c r="Q162" s="327">
        <v>0.72916666666666663</v>
      </c>
      <c r="R162" s="87"/>
      <c r="S162" s="87"/>
      <c r="T162" s="87"/>
      <c r="U162" s="87"/>
      <c r="V162" s="87"/>
      <c r="W162" s="87"/>
      <c r="X162" s="87"/>
      <c r="Y162" s="87"/>
    </row>
    <row r="163" spans="2:25" ht="27" customHeight="1">
      <c r="B163" s="16" t="s">
        <v>267</v>
      </c>
      <c r="C163" s="18">
        <v>1</v>
      </c>
      <c r="D163" s="27">
        <v>15</v>
      </c>
      <c r="E163" s="43" t="s">
        <v>268</v>
      </c>
      <c r="F163" s="44" t="s">
        <v>192</v>
      </c>
      <c r="G163" s="144" t="s">
        <v>269</v>
      </c>
      <c r="H163" s="117" t="s">
        <v>246</v>
      </c>
      <c r="I163" s="213" t="s">
        <v>246</v>
      </c>
      <c r="J163" s="5"/>
      <c r="K163" s="59" t="s">
        <v>246</v>
      </c>
      <c r="L163" s="77"/>
      <c r="M163" s="12" t="s">
        <v>246</v>
      </c>
      <c r="N163" s="12" t="s">
        <v>246</v>
      </c>
      <c r="O163" s="6"/>
      <c r="P163" s="12" t="s">
        <v>246</v>
      </c>
      <c r="Q163" s="12" t="s">
        <v>246</v>
      </c>
      <c r="R163" s="87"/>
      <c r="S163" s="87"/>
      <c r="T163" s="87"/>
      <c r="U163" s="87"/>
      <c r="V163" s="87"/>
      <c r="W163" s="87"/>
      <c r="X163" s="87"/>
      <c r="Y163" s="87"/>
    </row>
    <row r="164" spans="2:25" ht="27" customHeight="1">
      <c r="B164" s="260"/>
      <c r="C164" s="268"/>
      <c r="D164" s="268"/>
      <c r="E164" s="17"/>
      <c r="F164" s="259"/>
      <c r="G164" s="155"/>
      <c r="H164" s="263"/>
      <c r="I164" s="263"/>
      <c r="J164" s="259"/>
      <c r="K164" s="268"/>
      <c r="L164" s="259"/>
      <c r="M164" s="268"/>
      <c r="N164" s="268"/>
      <c r="O164" s="52"/>
      <c r="P164" s="52"/>
      <c r="Q164" s="52"/>
      <c r="R164" s="87"/>
      <c r="S164" s="87"/>
      <c r="T164" s="87"/>
      <c r="U164" s="87"/>
      <c r="V164" s="87"/>
      <c r="W164" s="87"/>
      <c r="X164" s="87"/>
      <c r="Y164" s="87"/>
    </row>
    <row r="165" spans="2:25" ht="27" customHeight="1">
      <c r="B165" s="260"/>
      <c r="C165" s="268"/>
      <c r="D165" s="268"/>
      <c r="E165" s="260"/>
      <c r="F165" s="260"/>
      <c r="G165" s="82"/>
      <c r="H165" s="268"/>
      <c r="I165" s="268"/>
      <c r="J165" s="259"/>
      <c r="K165" s="268"/>
      <c r="L165" s="268"/>
      <c r="M165" s="259"/>
      <c r="N165" s="268"/>
      <c r="O165" s="52"/>
      <c r="P165" s="52"/>
      <c r="Q165" s="52"/>
      <c r="R165" s="87"/>
      <c r="S165" s="87"/>
      <c r="T165" s="87"/>
      <c r="U165" s="87"/>
      <c r="V165" s="87"/>
      <c r="W165" s="87"/>
      <c r="X165" s="87"/>
      <c r="Y165" s="87"/>
    </row>
    <row r="166" spans="2:25" ht="27" customHeight="1">
      <c r="B166" s="239" t="s">
        <v>816</v>
      </c>
      <c r="C166" s="263"/>
      <c r="D166" s="262"/>
      <c r="E166" s="263"/>
      <c r="G166" s="82"/>
      <c r="H166" s="268"/>
      <c r="I166" s="262"/>
      <c r="J166" s="268"/>
      <c r="K166" s="268"/>
      <c r="L166" s="268"/>
      <c r="M166" s="268"/>
      <c r="N166" s="268"/>
      <c r="O166" s="52"/>
      <c r="P166" s="52"/>
      <c r="Q166" s="52"/>
      <c r="R166" s="87"/>
      <c r="S166" s="87"/>
      <c r="T166" s="87"/>
      <c r="U166" s="87"/>
      <c r="V166" s="87"/>
      <c r="W166" s="87"/>
      <c r="X166" s="87"/>
      <c r="Y166" s="87"/>
    </row>
    <row r="167" spans="2:25" ht="27" customHeight="1">
      <c r="B167" s="264"/>
      <c r="C167" s="263"/>
      <c r="D167" s="262"/>
      <c r="E167" s="263"/>
      <c r="F167" s="263"/>
      <c r="G167" s="155"/>
      <c r="H167" s="169" t="s">
        <v>7</v>
      </c>
      <c r="I167" s="170" t="s">
        <v>8</v>
      </c>
      <c r="J167" s="268"/>
      <c r="K167" s="116" t="s">
        <v>9</v>
      </c>
      <c r="L167" s="268"/>
      <c r="M167" s="405" t="s">
        <v>10</v>
      </c>
      <c r="N167" s="406"/>
      <c r="O167" s="199"/>
      <c r="P167" s="431" t="s">
        <v>914</v>
      </c>
      <c r="Q167" s="432"/>
      <c r="R167" s="87"/>
      <c r="S167" s="87"/>
      <c r="T167" s="87"/>
      <c r="U167" s="87"/>
      <c r="V167" s="87"/>
      <c r="W167" s="87"/>
      <c r="X167" s="87"/>
      <c r="Y167" s="87"/>
    </row>
    <row r="168" spans="2:25" ht="27" customHeight="1">
      <c r="B168" s="21" t="s">
        <v>11</v>
      </c>
      <c r="C168" s="20" t="s">
        <v>12</v>
      </c>
      <c r="D168" s="105" t="s">
        <v>13</v>
      </c>
      <c r="E168" s="159" t="s">
        <v>14</v>
      </c>
      <c r="F168" s="201" t="s">
        <v>15</v>
      </c>
      <c r="G168" s="250" t="s">
        <v>16</v>
      </c>
      <c r="H168" s="147" t="s">
        <v>17</v>
      </c>
      <c r="I168" s="212" t="s">
        <v>17</v>
      </c>
      <c r="J168" s="49"/>
      <c r="K168" s="214" t="s">
        <v>18</v>
      </c>
      <c r="L168" s="49"/>
      <c r="M168" s="71" t="s">
        <v>0</v>
      </c>
      <c r="N168" s="71" t="s">
        <v>1</v>
      </c>
      <c r="O168" s="49"/>
      <c r="P168" s="96" t="s">
        <v>0</v>
      </c>
      <c r="Q168" s="96" t="s">
        <v>1</v>
      </c>
      <c r="R168" s="87"/>
      <c r="S168" s="87"/>
      <c r="T168" s="87"/>
      <c r="U168" s="87"/>
      <c r="V168" s="87"/>
      <c r="W168" s="87"/>
      <c r="X168" s="87"/>
      <c r="Y168" s="87"/>
    </row>
    <row r="169" spans="2:25" ht="27" customHeight="1">
      <c r="B169" s="320" t="s">
        <v>270</v>
      </c>
      <c r="C169" s="319">
        <v>1</v>
      </c>
      <c r="D169" s="319">
        <v>10</v>
      </c>
      <c r="E169" s="320" t="s">
        <v>271</v>
      </c>
      <c r="F169" s="321" t="s">
        <v>121</v>
      </c>
      <c r="G169" s="321" t="s">
        <v>272</v>
      </c>
      <c r="H169" s="322" t="s">
        <v>35</v>
      </c>
      <c r="I169" s="319" t="s">
        <v>64</v>
      </c>
      <c r="J169" s="5"/>
      <c r="K169" s="325" t="s">
        <v>192</v>
      </c>
      <c r="L169" s="13"/>
      <c r="M169" s="326" t="s">
        <v>192</v>
      </c>
      <c r="N169" s="327" t="s">
        <v>192</v>
      </c>
      <c r="O169" s="13"/>
      <c r="P169" s="326" t="s">
        <v>192</v>
      </c>
      <c r="Q169" s="327" t="s">
        <v>192</v>
      </c>
      <c r="R169" s="87"/>
      <c r="S169" s="87"/>
      <c r="T169" s="87"/>
      <c r="U169" s="87"/>
      <c r="V169" s="87"/>
      <c r="W169" s="87"/>
      <c r="X169" s="87"/>
      <c r="Y169" s="87"/>
    </row>
    <row r="170" spans="2:25" ht="27" customHeight="1">
      <c r="B170" s="16" t="s">
        <v>273</v>
      </c>
      <c r="C170" s="18">
        <v>1</v>
      </c>
      <c r="D170" s="27">
        <v>10</v>
      </c>
      <c r="E170" s="44" t="s">
        <v>274</v>
      </c>
      <c r="F170" s="173" t="s">
        <v>262</v>
      </c>
      <c r="G170" s="248" t="s">
        <v>254</v>
      </c>
      <c r="H170" s="59" t="s">
        <v>275</v>
      </c>
      <c r="I170" s="215" t="s">
        <v>61</v>
      </c>
      <c r="J170" s="49"/>
      <c r="K170" s="293" t="s">
        <v>881</v>
      </c>
      <c r="L170" s="245"/>
      <c r="M170" s="23" t="s">
        <v>192</v>
      </c>
      <c r="N170" s="23" t="s">
        <v>192</v>
      </c>
      <c r="O170" s="245"/>
      <c r="P170" s="15" t="s">
        <v>192</v>
      </c>
      <c r="Q170" s="15" t="s">
        <v>192</v>
      </c>
      <c r="R170" s="151"/>
      <c r="S170" s="151"/>
      <c r="T170" s="151"/>
      <c r="U170" s="151"/>
      <c r="V170" s="151"/>
      <c r="W170" s="151"/>
      <c r="X170" s="151"/>
      <c r="Y170" s="87"/>
    </row>
    <row r="171" spans="2:25" ht="27" customHeight="1">
      <c r="B171" s="320" t="s">
        <v>276</v>
      </c>
      <c r="C171" s="319">
        <v>1</v>
      </c>
      <c r="D171" s="319">
        <v>12</v>
      </c>
      <c r="E171" s="320" t="s">
        <v>277</v>
      </c>
      <c r="F171" s="321" t="s">
        <v>278</v>
      </c>
      <c r="G171" s="321" t="s">
        <v>279</v>
      </c>
      <c r="H171" s="322" t="s">
        <v>280</v>
      </c>
      <c r="I171" s="319" t="s">
        <v>281</v>
      </c>
      <c r="J171" s="5"/>
      <c r="K171" s="325" t="s">
        <v>192</v>
      </c>
      <c r="L171" s="13"/>
      <c r="M171" s="326">
        <v>45831</v>
      </c>
      <c r="N171" s="327" t="s">
        <v>878</v>
      </c>
      <c r="O171" s="13"/>
      <c r="P171" s="326" t="s">
        <v>192</v>
      </c>
      <c r="Q171" s="327" t="s">
        <v>192</v>
      </c>
      <c r="R171" s="87"/>
      <c r="S171" s="87"/>
      <c r="T171" s="87"/>
      <c r="U171" s="87"/>
      <c r="V171" s="87"/>
      <c r="W171" s="87"/>
      <c r="X171" s="87"/>
      <c r="Y171" s="87"/>
    </row>
    <row r="172" spans="2:25" ht="27" customHeight="1">
      <c r="B172" s="16" t="s">
        <v>282</v>
      </c>
      <c r="C172" s="18">
        <v>1</v>
      </c>
      <c r="D172" s="27">
        <v>10</v>
      </c>
      <c r="E172" s="43" t="s">
        <v>283</v>
      </c>
      <c r="F172" s="173" t="s">
        <v>284</v>
      </c>
      <c r="G172" s="149" t="s">
        <v>116</v>
      </c>
      <c r="H172" s="163" t="s">
        <v>285</v>
      </c>
      <c r="I172" s="183" t="s">
        <v>286</v>
      </c>
      <c r="J172" s="49"/>
      <c r="K172" s="293" t="s">
        <v>192</v>
      </c>
      <c r="L172" s="64"/>
      <c r="M172" s="295">
        <v>45832</v>
      </c>
      <c r="N172" s="296">
        <v>0.40277777777777779</v>
      </c>
      <c r="O172" s="64"/>
      <c r="P172" s="15" t="s">
        <v>192</v>
      </c>
      <c r="Q172" s="15" t="s">
        <v>192</v>
      </c>
      <c r="R172" s="151"/>
      <c r="S172" s="151"/>
      <c r="T172" s="151"/>
      <c r="U172" s="151"/>
      <c r="V172" s="151"/>
      <c r="W172" s="151"/>
      <c r="X172" s="151"/>
      <c r="Y172" s="87"/>
    </row>
    <row r="173" spans="2:25" ht="27" customHeight="1">
      <c r="B173" s="320" t="s">
        <v>287</v>
      </c>
      <c r="C173" s="319">
        <v>1</v>
      </c>
      <c r="D173" s="319">
        <v>12</v>
      </c>
      <c r="E173" s="320" t="s">
        <v>288</v>
      </c>
      <c r="F173" s="321" t="s">
        <v>289</v>
      </c>
      <c r="G173" s="321" t="s">
        <v>290</v>
      </c>
      <c r="H173" s="322" t="s">
        <v>31</v>
      </c>
      <c r="I173" s="319" t="s">
        <v>291</v>
      </c>
      <c r="J173" s="5"/>
      <c r="K173" s="325" t="s">
        <v>873</v>
      </c>
      <c r="L173" s="13"/>
      <c r="M173" s="326">
        <v>45839</v>
      </c>
      <c r="N173" s="327" t="s">
        <v>55</v>
      </c>
      <c r="O173" s="13"/>
      <c r="P173" s="326" t="s">
        <v>192</v>
      </c>
      <c r="Q173" s="327" t="s">
        <v>192</v>
      </c>
      <c r="R173" s="87"/>
      <c r="S173" s="87"/>
      <c r="T173" s="87"/>
      <c r="U173" s="87"/>
      <c r="V173" s="87"/>
      <c r="W173" s="87"/>
      <c r="X173" s="87"/>
      <c r="Y173" s="87"/>
    </row>
    <row r="174" spans="2:25" ht="27" customHeight="1">
      <c r="B174" s="16" t="s">
        <v>292</v>
      </c>
      <c r="C174" s="18">
        <v>1</v>
      </c>
      <c r="D174" s="27">
        <v>10</v>
      </c>
      <c r="E174" s="43" t="s">
        <v>293</v>
      </c>
      <c r="F174" s="226" t="s">
        <v>294</v>
      </c>
      <c r="G174" s="256" t="s">
        <v>295</v>
      </c>
      <c r="H174" s="178" t="s">
        <v>296</v>
      </c>
      <c r="I174" s="227" t="s">
        <v>207</v>
      </c>
      <c r="J174" s="49"/>
      <c r="K174" s="293" t="s">
        <v>192</v>
      </c>
      <c r="L174" s="246"/>
      <c r="M174" s="23" t="s">
        <v>192</v>
      </c>
      <c r="N174" s="23" t="s">
        <v>192</v>
      </c>
      <c r="O174" s="246"/>
      <c r="P174" s="15" t="s">
        <v>192</v>
      </c>
      <c r="Q174" s="15" t="s">
        <v>192</v>
      </c>
      <c r="R174" s="151"/>
      <c r="S174" s="151"/>
      <c r="T174" s="151"/>
      <c r="U174" s="151"/>
      <c r="V174" s="151"/>
      <c r="W174" s="151"/>
      <c r="X174" s="151"/>
      <c r="Y174" s="87"/>
    </row>
    <row r="175" spans="2:25" ht="27" customHeight="1">
      <c r="B175" s="320" t="s">
        <v>297</v>
      </c>
      <c r="C175" s="319">
        <v>1</v>
      </c>
      <c r="D175" s="319">
        <v>10</v>
      </c>
      <c r="E175" s="320" t="s">
        <v>298</v>
      </c>
      <c r="F175" s="321" t="s">
        <v>289</v>
      </c>
      <c r="G175" s="321" t="s">
        <v>76</v>
      </c>
      <c r="H175" s="322" t="s">
        <v>35</v>
      </c>
      <c r="I175" s="319" t="s">
        <v>28</v>
      </c>
      <c r="J175" s="5"/>
      <c r="K175" s="325" t="s">
        <v>880</v>
      </c>
      <c r="L175" s="13"/>
      <c r="M175" s="326">
        <v>45847</v>
      </c>
      <c r="N175" s="327" t="s">
        <v>55</v>
      </c>
      <c r="O175" s="13"/>
      <c r="P175" s="326" t="s">
        <v>192</v>
      </c>
      <c r="Q175" s="327" t="s">
        <v>192</v>
      </c>
      <c r="R175" s="87"/>
      <c r="S175" s="87"/>
      <c r="T175" s="87"/>
      <c r="U175" s="87"/>
      <c r="V175" s="87"/>
      <c r="W175" s="87"/>
      <c r="X175" s="87"/>
      <c r="Y175" s="87"/>
    </row>
    <row r="176" spans="2:25" ht="27" customHeight="1">
      <c r="B176" s="16" t="s">
        <v>299</v>
      </c>
      <c r="C176" s="18">
        <v>1</v>
      </c>
      <c r="D176" s="27">
        <v>10</v>
      </c>
      <c r="E176" s="43" t="s">
        <v>300</v>
      </c>
      <c r="F176" s="228" t="s">
        <v>301</v>
      </c>
      <c r="G176" s="209" t="s">
        <v>302</v>
      </c>
      <c r="H176" s="229" t="s">
        <v>44</v>
      </c>
      <c r="I176" s="230" t="s">
        <v>80</v>
      </c>
      <c r="J176" s="49"/>
      <c r="K176" s="293" t="s">
        <v>192</v>
      </c>
      <c r="L176" s="297"/>
      <c r="M176" s="23" t="s">
        <v>192</v>
      </c>
      <c r="N176" s="23" t="s">
        <v>192</v>
      </c>
      <c r="O176" s="297"/>
      <c r="P176" s="15" t="s">
        <v>192</v>
      </c>
      <c r="Q176" s="15" t="s">
        <v>192</v>
      </c>
      <c r="R176" s="151"/>
      <c r="S176" s="151"/>
      <c r="T176" s="151"/>
      <c r="U176" s="151"/>
      <c r="V176" s="151"/>
      <c r="W176" s="151"/>
      <c r="X176" s="151"/>
      <c r="Y176" s="87"/>
    </row>
    <row r="177" spans="2:25" ht="27" customHeight="1">
      <c r="B177" s="320" t="s">
        <v>303</v>
      </c>
      <c r="C177" s="319">
        <v>1</v>
      </c>
      <c r="D177" s="319">
        <v>10</v>
      </c>
      <c r="E177" s="320" t="s">
        <v>304</v>
      </c>
      <c r="F177" s="321" t="s">
        <v>305</v>
      </c>
      <c r="G177" s="321" t="s">
        <v>306</v>
      </c>
      <c r="H177" s="322" t="s">
        <v>307</v>
      </c>
      <c r="I177" s="319" t="s">
        <v>96</v>
      </c>
      <c r="J177" s="5"/>
      <c r="K177" s="325" t="s">
        <v>886</v>
      </c>
      <c r="L177" s="13"/>
      <c r="M177" s="326">
        <v>45479</v>
      </c>
      <c r="N177" s="327" t="s">
        <v>888</v>
      </c>
      <c r="O177" s="13"/>
      <c r="P177" s="326" t="s">
        <v>192</v>
      </c>
      <c r="Q177" s="327" t="s">
        <v>192</v>
      </c>
      <c r="R177" s="87"/>
      <c r="S177" s="87"/>
      <c r="T177" s="87"/>
      <c r="U177" s="87"/>
      <c r="V177" s="87"/>
      <c r="W177" s="87"/>
      <c r="X177" s="87"/>
      <c r="Y177" s="87"/>
    </row>
    <row r="178" spans="2:25" ht="27" customHeight="1">
      <c r="B178" s="16" t="s">
        <v>308</v>
      </c>
      <c r="C178" s="18">
        <v>1</v>
      </c>
      <c r="D178" s="27">
        <v>10</v>
      </c>
      <c r="E178" s="44" t="s">
        <v>309</v>
      </c>
      <c r="F178" s="148" t="s">
        <v>310</v>
      </c>
      <c r="G178" s="249" t="s">
        <v>311</v>
      </c>
      <c r="H178" s="166" t="s">
        <v>312</v>
      </c>
      <c r="I178" s="221" t="s">
        <v>313</v>
      </c>
      <c r="J178" s="49"/>
      <c r="K178" s="298" t="s">
        <v>879</v>
      </c>
      <c r="L178" s="47"/>
      <c r="M178" s="23" t="s">
        <v>192</v>
      </c>
      <c r="N178" s="23" t="s">
        <v>192</v>
      </c>
      <c r="O178" s="47"/>
      <c r="P178" s="15" t="s">
        <v>192</v>
      </c>
      <c r="Q178" s="15" t="s">
        <v>192</v>
      </c>
      <c r="R178" s="151"/>
      <c r="S178" s="151"/>
      <c r="T178" s="151"/>
      <c r="U178" s="151"/>
      <c r="V178" s="151"/>
      <c r="W178" s="151"/>
      <c r="X178" s="151"/>
      <c r="Y178" s="87"/>
    </row>
    <row r="179" spans="2:25" ht="27" customHeight="1">
      <c r="B179" s="320" t="s">
        <v>314</v>
      </c>
      <c r="C179" s="319">
        <v>1</v>
      </c>
      <c r="D179" s="319">
        <v>10</v>
      </c>
      <c r="E179" s="320" t="s">
        <v>315</v>
      </c>
      <c r="F179" s="321" t="s">
        <v>316</v>
      </c>
      <c r="G179" s="321" t="s">
        <v>317</v>
      </c>
      <c r="H179" s="322" t="s">
        <v>38</v>
      </c>
      <c r="I179" s="319" t="s">
        <v>61</v>
      </c>
      <c r="J179" s="5"/>
      <c r="K179" s="325" t="s">
        <v>885</v>
      </c>
      <c r="L179" s="13"/>
      <c r="M179" s="326" t="s">
        <v>192</v>
      </c>
      <c r="N179" s="327" t="s">
        <v>192</v>
      </c>
      <c r="O179" s="13"/>
      <c r="P179" s="326" t="s">
        <v>192</v>
      </c>
      <c r="Q179" s="327" t="s">
        <v>192</v>
      </c>
      <c r="R179" s="87"/>
      <c r="S179" s="87"/>
      <c r="T179" s="87"/>
      <c r="U179" s="87"/>
      <c r="V179" s="87"/>
      <c r="W179" s="87"/>
      <c r="X179" s="87"/>
      <c r="Y179" s="87"/>
    </row>
    <row r="180" spans="2:25" ht="27" customHeight="1">
      <c r="B180" s="16" t="s">
        <v>318</v>
      </c>
      <c r="C180" s="18">
        <v>1</v>
      </c>
      <c r="D180" s="27">
        <v>10</v>
      </c>
      <c r="E180" s="43" t="s">
        <v>319</v>
      </c>
      <c r="F180" s="173" t="s">
        <v>320</v>
      </c>
      <c r="G180" s="249" t="s">
        <v>321</v>
      </c>
      <c r="H180" s="59" t="s">
        <v>322</v>
      </c>
      <c r="I180" s="231" t="s">
        <v>291</v>
      </c>
      <c r="J180" s="49"/>
      <c r="K180" s="293" t="s">
        <v>883</v>
      </c>
      <c r="L180" s="5"/>
      <c r="M180" s="23" t="s">
        <v>192</v>
      </c>
      <c r="N180" s="23" t="s">
        <v>192</v>
      </c>
      <c r="O180" s="5"/>
      <c r="P180" s="15" t="s">
        <v>192</v>
      </c>
      <c r="Q180" s="15" t="s">
        <v>192</v>
      </c>
      <c r="R180" s="151"/>
      <c r="S180" s="151"/>
      <c r="T180" s="151"/>
      <c r="U180" s="151"/>
      <c r="V180" s="151"/>
      <c r="W180" s="151"/>
      <c r="X180" s="151"/>
      <c r="Y180" s="87"/>
    </row>
    <row r="181" spans="2:25" ht="27" customHeight="1">
      <c r="B181" s="320" t="s">
        <v>323</v>
      </c>
      <c r="C181" s="319">
        <v>1</v>
      </c>
      <c r="D181" s="319">
        <v>10</v>
      </c>
      <c r="E181" s="320" t="s">
        <v>324</v>
      </c>
      <c r="F181" s="321" t="s">
        <v>325</v>
      </c>
      <c r="G181" s="321" t="s">
        <v>321</v>
      </c>
      <c r="H181" s="322" t="s">
        <v>34</v>
      </c>
      <c r="I181" s="319" t="s">
        <v>61</v>
      </c>
      <c r="J181" s="5"/>
      <c r="K181" s="325" t="s">
        <v>192</v>
      </c>
      <c r="L181" s="13"/>
      <c r="M181" s="326">
        <v>45846</v>
      </c>
      <c r="N181" s="327" t="s">
        <v>55</v>
      </c>
      <c r="O181" s="13"/>
      <c r="P181" s="326" t="s">
        <v>192</v>
      </c>
      <c r="Q181" s="327" t="s">
        <v>192</v>
      </c>
      <c r="R181" s="87"/>
      <c r="S181" s="87"/>
      <c r="T181" s="87"/>
      <c r="U181" s="87"/>
      <c r="V181" s="87"/>
      <c r="W181" s="87"/>
      <c r="X181" s="87"/>
      <c r="Y181" s="87"/>
    </row>
    <row r="182" spans="2:25" ht="27" customHeight="1">
      <c r="B182" s="16" t="s">
        <v>326</v>
      </c>
      <c r="C182" s="18">
        <v>1</v>
      </c>
      <c r="D182" s="27">
        <v>10</v>
      </c>
      <c r="E182" s="168" t="s">
        <v>327</v>
      </c>
      <c r="F182" s="148" t="s">
        <v>328</v>
      </c>
      <c r="G182" s="174" t="s">
        <v>321</v>
      </c>
      <c r="H182" s="59" t="s">
        <v>27</v>
      </c>
      <c r="I182" s="221" t="s">
        <v>281</v>
      </c>
      <c r="J182" s="49"/>
      <c r="K182" s="293" t="s">
        <v>882</v>
      </c>
      <c r="L182" s="5"/>
      <c r="M182" s="299">
        <v>45833</v>
      </c>
      <c r="N182" s="299" t="s">
        <v>887</v>
      </c>
      <c r="O182" s="5"/>
      <c r="P182" s="15" t="s">
        <v>192</v>
      </c>
      <c r="Q182" s="15" t="s">
        <v>192</v>
      </c>
      <c r="R182" s="151"/>
      <c r="S182" s="151"/>
      <c r="T182" s="151"/>
      <c r="U182" s="151"/>
      <c r="V182" s="151"/>
      <c r="W182" s="151"/>
      <c r="X182" s="151"/>
      <c r="Y182" s="87"/>
    </row>
    <row r="183" spans="2:25" ht="27" customHeight="1">
      <c r="B183" s="320" t="s">
        <v>329</v>
      </c>
      <c r="C183" s="319">
        <v>1</v>
      </c>
      <c r="D183" s="319">
        <v>10</v>
      </c>
      <c r="E183" s="320" t="s">
        <v>330</v>
      </c>
      <c r="F183" s="321" t="s">
        <v>325</v>
      </c>
      <c r="G183" s="321" t="s">
        <v>317</v>
      </c>
      <c r="H183" s="322" t="s">
        <v>49</v>
      </c>
      <c r="I183" s="319" t="s">
        <v>61</v>
      </c>
      <c r="J183" s="5"/>
      <c r="K183" s="325" t="s">
        <v>192</v>
      </c>
      <c r="L183" s="13"/>
      <c r="M183" s="326">
        <v>45841</v>
      </c>
      <c r="N183" s="327" t="s">
        <v>55</v>
      </c>
      <c r="O183" s="13"/>
      <c r="P183" s="326" t="s">
        <v>192</v>
      </c>
      <c r="Q183" s="327" t="s">
        <v>192</v>
      </c>
      <c r="R183" s="87"/>
      <c r="S183" s="87"/>
      <c r="T183" s="87"/>
      <c r="U183" s="87"/>
      <c r="V183" s="87"/>
      <c r="W183" s="87"/>
      <c r="X183" s="87"/>
      <c r="Y183" s="87"/>
    </row>
    <row r="184" spans="2:25" ht="27" customHeight="1">
      <c r="B184" s="16" t="s">
        <v>331</v>
      </c>
      <c r="C184" s="18">
        <v>1</v>
      </c>
      <c r="D184" s="27">
        <v>10</v>
      </c>
      <c r="E184" s="44" t="s">
        <v>332</v>
      </c>
      <c r="F184" s="148" t="s">
        <v>99</v>
      </c>
      <c r="G184" s="174" t="s">
        <v>317</v>
      </c>
      <c r="H184" s="9" t="s">
        <v>31</v>
      </c>
      <c r="I184" s="221" t="s">
        <v>28</v>
      </c>
      <c r="J184" s="49"/>
      <c r="K184" s="293" t="s">
        <v>884</v>
      </c>
      <c r="L184" s="47"/>
      <c r="M184" s="23" t="s">
        <v>192</v>
      </c>
      <c r="N184" s="23" t="s">
        <v>192</v>
      </c>
      <c r="O184" s="47"/>
      <c r="P184" s="15" t="s">
        <v>192</v>
      </c>
      <c r="Q184" s="15" t="s">
        <v>192</v>
      </c>
      <c r="R184" s="151"/>
      <c r="S184" s="151"/>
      <c r="T184" s="151"/>
      <c r="U184" s="151"/>
      <c r="V184" s="151"/>
      <c r="W184" s="151"/>
      <c r="X184" s="151"/>
      <c r="Y184" s="87"/>
    </row>
    <row r="185" spans="2:25" ht="27" customHeight="1">
      <c r="B185" s="333" t="s">
        <v>333</v>
      </c>
      <c r="C185" s="328">
        <v>1</v>
      </c>
      <c r="D185" s="328">
        <v>10</v>
      </c>
      <c r="E185" s="333" t="s">
        <v>334</v>
      </c>
      <c r="F185" s="357" t="s">
        <v>94</v>
      </c>
      <c r="G185" s="357" t="s">
        <v>321</v>
      </c>
      <c r="H185" s="374" t="s">
        <v>335</v>
      </c>
      <c r="I185" s="328" t="s">
        <v>96</v>
      </c>
      <c r="J185" s="47"/>
      <c r="K185" s="325" t="s">
        <v>192</v>
      </c>
      <c r="L185" s="48"/>
      <c r="M185" s="329" t="s">
        <v>192</v>
      </c>
      <c r="N185" s="330" t="s">
        <v>192</v>
      </c>
      <c r="O185" s="48"/>
      <c r="P185" s="329" t="s">
        <v>192</v>
      </c>
      <c r="Q185" s="327" t="s">
        <v>192</v>
      </c>
      <c r="R185" s="87"/>
      <c r="S185" s="87"/>
      <c r="T185" s="87"/>
      <c r="U185" s="87"/>
      <c r="V185" s="87"/>
      <c r="W185" s="87"/>
      <c r="X185" s="87"/>
      <c r="Y185" s="87"/>
    </row>
    <row r="186" spans="2:25" ht="27" customHeight="1">
      <c r="B186" s="43" t="s">
        <v>336</v>
      </c>
      <c r="C186" s="58">
        <v>1</v>
      </c>
      <c r="D186" s="58">
        <v>10</v>
      </c>
      <c r="E186" s="43" t="s">
        <v>337</v>
      </c>
      <c r="F186" s="44" t="s">
        <v>338</v>
      </c>
      <c r="G186" s="381" t="s">
        <v>339</v>
      </c>
      <c r="H186" s="59" t="s">
        <v>27</v>
      </c>
      <c r="I186" s="117" t="s">
        <v>61</v>
      </c>
      <c r="J186" s="49"/>
      <c r="K186" s="247" t="s">
        <v>192</v>
      </c>
      <c r="L186" s="49"/>
      <c r="M186" s="292">
        <v>45848</v>
      </c>
      <c r="N186" s="288" t="s">
        <v>888</v>
      </c>
      <c r="O186" s="49"/>
      <c r="P186" s="291" t="s">
        <v>192</v>
      </c>
      <c r="Q186" s="305" t="s">
        <v>192</v>
      </c>
      <c r="R186" s="151"/>
      <c r="S186" s="151"/>
      <c r="T186" s="151"/>
      <c r="U186" s="151"/>
      <c r="V186" s="151"/>
      <c r="W186" s="151"/>
      <c r="X186" s="151"/>
      <c r="Y186" s="87"/>
    </row>
    <row r="187" spans="2:25" ht="27" customHeight="1">
      <c r="B187" s="359" t="s">
        <v>340</v>
      </c>
      <c r="C187" s="358">
        <v>1</v>
      </c>
      <c r="D187" s="358">
        <v>10</v>
      </c>
      <c r="E187" s="359" t="s">
        <v>341</v>
      </c>
      <c r="F187" s="335" t="s">
        <v>134</v>
      </c>
      <c r="G187" s="335" t="s">
        <v>342</v>
      </c>
      <c r="H187" s="375" t="s">
        <v>34</v>
      </c>
      <c r="I187" s="358" t="s">
        <v>176</v>
      </c>
      <c r="J187" s="49"/>
      <c r="K187" s="358" t="s">
        <v>343</v>
      </c>
      <c r="L187" s="50"/>
      <c r="M187" s="371">
        <v>45846</v>
      </c>
      <c r="N187" s="349" t="s">
        <v>55</v>
      </c>
      <c r="O187" s="50"/>
      <c r="P187" s="371" t="s">
        <v>192</v>
      </c>
      <c r="Q187" s="380" t="s">
        <v>192</v>
      </c>
      <c r="R187" s="87"/>
      <c r="S187" s="87"/>
      <c r="T187" s="87"/>
      <c r="U187" s="87"/>
      <c r="V187" s="87"/>
      <c r="W187" s="87"/>
      <c r="X187" s="87"/>
      <c r="Y187" s="87"/>
    </row>
    <row r="188" spans="2:25" ht="27" customHeight="1">
      <c r="B188" s="43" t="s">
        <v>344</v>
      </c>
      <c r="C188" s="58">
        <v>1</v>
      </c>
      <c r="D188" s="58">
        <v>12</v>
      </c>
      <c r="E188" s="44" t="s">
        <v>345</v>
      </c>
      <c r="F188" s="42" t="s">
        <v>346</v>
      </c>
      <c r="G188" s="382" t="s">
        <v>347</v>
      </c>
      <c r="H188" s="59" t="s">
        <v>192</v>
      </c>
      <c r="I188" s="59" t="s">
        <v>61</v>
      </c>
      <c r="J188" s="49"/>
      <c r="K188" s="59" t="s">
        <v>192</v>
      </c>
      <c r="L188" s="49"/>
      <c r="M188" s="59" t="s">
        <v>192</v>
      </c>
      <c r="N188" s="59" t="s">
        <v>192</v>
      </c>
      <c r="O188" s="49"/>
      <c r="P188" s="291" t="s">
        <v>192</v>
      </c>
      <c r="Q188" s="305" t="s">
        <v>192</v>
      </c>
      <c r="R188" s="151"/>
      <c r="S188" s="151"/>
      <c r="T188" s="151"/>
      <c r="U188" s="151"/>
      <c r="V188" s="151"/>
      <c r="W188" s="151"/>
      <c r="X188" s="151"/>
      <c r="Y188" s="87"/>
    </row>
    <row r="189" spans="2:25" ht="27" customHeight="1">
      <c r="B189" s="260"/>
      <c r="C189" s="268"/>
      <c r="D189" s="268"/>
      <c r="E189" s="69"/>
      <c r="F189" s="82"/>
      <c r="G189" s="259"/>
      <c r="H189" s="268"/>
      <c r="I189" s="268"/>
      <c r="J189" s="255"/>
      <c r="K189" s="81"/>
      <c r="L189" s="255"/>
      <c r="M189" s="254"/>
      <c r="N189" s="268"/>
      <c r="O189" s="52"/>
      <c r="P189" s="52"/>
      <c r="Q189" s="52"/>
      <c r="R189" s="151"/>
      <c r="S189" s="151"/>
      <c r="T189" s="151"/>
      <c r="U189" s="151"/>
      <c r="V189" s="151"/>
      <c r="W189" s="151"/>
      <c r="X189" s="151"/>
      <c r="Y189" s="87"/>
    </row>
    <row r="190" spans="2:25" ht="27" customHeight="1">
      <c r="B190" s="239" t="s">
        <v>348</v>
      </c>
      <c r="C190" s="268"/>
      <c r="D190" s="268"/>
      <c r="E190" s="260"/>
      <c r="F190" s="259" t="s">
        <v>349</v>
      </c>
      <c r="G190" s="259"/>
      <c r="H190" s="268"/>
      <c r="I190" s="268"/>
      <c r="J190" s="253"/>
      <c r="K190" s="268"/>
      <c r="L190" s="268"/>
      <c r="M190" s="268"/>
      <c r="N190" s="268"/>
      <c r="O190" s="52"/>
      <c r="P190" s="52"/>
      <c r="Q190" s="52"/>
      <c r="R190" s="151"/>
      <c r="S190" s="151"/>
      <c r="T190" s="151"/>
      <c r="U190" s="151"/>
      <c r="V190" s="151"/>
      <c r="W190" s="151"/>
      <c r="X190" s="151"/>
      <c r="Y190" s="87"/>
    </row>
    <row r="191" spans="2:25" ht="27" customHeight="1">
      <c r="B191" s="264"/>
      <c r="C191" s="263"/>
      <c r="D191" s="262"/>
      <c r="E191" s="263"/>
      <c r="F191" s="263"/>
      <c r="G191" s="263"/>
      <c r="H191" s="105" t="s">
        <v>7</v>
      </c>
      <c r="I191" s="71" t="s">
        <v>8</v>
      </c>
      <c r="J191" s="268"/>
      <c r="K191" s="20" t="s">
        <v>9</v>
      </c>
      <c r="L191" s="268"/>
      <c r="M191" s="431" t="s">
        <v>10</v>
      </c>
      <c r="N191" s="432"/>
      <c r="O191" s="251"/>
      <c r="P191" s="199"/>
      <c r="Q191" s="199"/>
      <c r="R191" s="151"/>
      <c r="S191" s="151"/>
      <c r="T191" s="151"/>
      <c r="U191" s="151"/>
      <c r="V191" s="151"/>
      <c r="W191" s="151"/>
      <c r="X191" s="151"/>
      <c r="Y191" s="87"/>
    </row>
    <row r="192" spans="2:25" ht="27" customHeight="1">
      <c r="B192" s="21" t="s">
        <v>11</v>
      </c>
      <c r="C192" s="20" t="s">
        <v>12</v>
      </c>
      <c r="D192" s="20" t="s">
        <v>13</v>
      </c>
      <c r="E192" s="21" t="s">
        <v>14</v>
      </c>
      <c r="F192" s="21" t="s">
        <v>15</v>
      </c>
      <c r="G192" s="22" t="s">
        <v>16</v>
      </c>
      <c r="H192" s="4" t="s">
        <v>17</v>
      </c>
      <c r="I192" s="4" t="s">
        <v>17</v>
      </c>
      <c r="J192" s="5"/>
      <c r="K192" s="20" t="s">
        <v>18</v>
      </c>
      <c r="L192" s="5"/>
      <c r="M192" s="109" t="s">
        <v>0</v>
      </c>
      <c r="N192" s="109" t="s">
        <v>1</v>
      </c>
      <c r="O192" s="79"/>
      <c r="P192" s="79"/>
      <c r="Q192" s="79"/>
      <c r="R192" s="151"/>
      <c r="S192" s="151"/>
      <c r="T192" s="151"/>
      <c r="U192" s="151"/>
      <c r="V192" s="151"/>
      <c r="W192" s="151"/>
      <c r="X192" s="151"/>
      <c r="Y192" s="87"/>
    </row>
    <row r="193" spans="2:25" ht="27" customHeight="1">
      <c r="B193" s="16" t="s">
        <v>350</v>
      </c>
      <c r="C193" s="18">
        <v>1</v>
      </c>
      <c r="D193" s="18">
        <v>30</v>
      </c>
      <c r="E193" s="16" t="s">
        <v>351</v>
      </c>
      <c r="F193" s="145" t="s">
        <v>352</v>
      </c>
      <c r="G193" s="149" t="s">
        <v>353</v>
      </c>
      <c r="H193" s="192" t="s">
        <v>192</v>
      </c>
      <c r="I193" s="9" t="s">
        <v>246</v>
      </c>
      <c r="J193" s="5"/>
      <c r="K193" s="18" t="s">
        <v>61</v>
      </c>
      <c r="L193" s="5"/>
      <c r="M193" s="18" t="s">
        <v>61</v>
      </c>
      <c r="N193" s="18" t="s">
        <v>61</v>
      </c>
      <c r="O193" s="52"/>
      <c r="P193" s="52"/>
      <c r="Q193" s="52"/>
      <c r="R193" s="151"/>
      <c r="S193" s="151"/>
      <c r="T193" s="151"/>
      <c r="U193" s="151"/>
      <c r="V193" s="151"/>
      <c r="W193" s="151"/>
      <c r="X193" s="151"/>
      <c r="Y193" s="87"/>
    </row>
    <row r="194" spans="2:25" ht="27" customHeight="1">
      <c r="B194" s="260"/>
      <c r="C194" s="268"/>
      <c r="D194" s="268"/>
      <c r="E194" s="260"/>
      <c r="F194" s="259"/>
      <c r="G194" s="259"/>
      <c r="H194" s="81"/>
      <c r="I194" s="81"/>
      <c r="J194" s="268"/>
      <c r="K194" s="268"/>
      <c r="L194" s="268"/>
      <c r="M194" s="268"/>
      <c r="N194" s="268"/>
      <c r="O194" s="52"/>
      <c r="P194" s="52"/>
      <c r="Q194" s="52"/>
      <c r="R194" s="151"/>
      <c r="S194" s="151"/>
      <c r="T194" s="151"/>
      <c r="U194" s="151"/>
      <c r="V194" s="151"/>
      <c r="W194" s="151"/>
      <c r="X194" s="151"/>
      <c r="Y194" s="87"/>
    </row>
    <row r="195" spans="2:25" ht="27" customHeight="1">
      <c r="B195" s="266" t="s">
        <v>354</v>
      </c>
      <c r="C195" s="262"/>
      <c r="D195" s="262"/>
      <c r="E195" s="263"/>
      <c r="F195" s="252"/>
      <c r="G195" s="252" t="s">
        <v>234</v>
      </c>
      <c r="H195" s="83"/>
      <c r="I195" s="83"/>
      <c r="J195" s="268"/>
      <c r="K195" s="268"/>
      <c r="L195" s="268"/>
      <c r="M195" s="268"/>
      <c r="N195" s="268"/>
      <c r="O195" s="52"/>
      <c r="P195" s="52"/>
      <c r="Q195" s="52"/>
      <c r="R195" s="151"/>
      <c r="S195" s="151"/>
      <c r="T195" s="151"/>
      <c r="U195" s="151"/>
      <c r="V195" s="151"/>
      <c r="W195" s="151"/>
      <c r="X195" s="151"/>
      <c r="Y195" s="87"/>
    </row>
    <row r="196" spans="2:25" ht="27" customHeight="1">
      <c r="B196" s="264"/>
      <c r="C196" s="263"/>
      <c r="D196" s="262"/>
      <c r="E196" s="263"/>
      <c r="F196" s="263"/>
      <c r="G196" s="263"/>
      <c r="H196" s="105" t="s">
        <v>7</v>
      </c>
      <c r="I196" s="71" t="s">
        <v>8</v>
      </c>
      <c r="J196" s="268"/>
      <c r="K196" s="20" t="s">
        <v>9</v>
      </c>
      <c r="L196" s="268"/>
      <c r="M196" s="431" t="s">
        <v>10</v>
      </c>
      <c r="N196" s="432"/>
      <c r="O196" s="251"/>
      <c r="P196" s="199"/>
      <c r="Q196" s="199"/>
      <c r="R196" s="151"/>
      <c r="S196" s="151"/>
      <c r="T196" s="151"/>
      <c r="U196" s="151"/>
      <c r="V196" s="151"/>
      <c r="W196" s="151"/>
      <c r="X196" s="151"/>
      <c r="Y196" s="87"/>
    </row>
    <row r="197" spans="2:25" ht="27" customHeight="1">
      <c r="B197" s="21" t="s">
        <v>11</v>
      </c>
      <c r="C197" s="20" t="s">
        <v>12</v>
      </c>
      <c r="D197" s="20" t="s">
        <v>13</v>
      </c>
      <c r="E197" s="21" t="s">
        <v>14</v>
      </c>
      <c r="F197" s="21" t="s">
        <v>15</v>
      </c>
      <c r="G197" s="22" t="s">
        <v>16</v>
      </c>
      <c r="H197" s="4" t="s">
        <v>17</v>
      </c>
      <c r="I197" s="4" t="s">
        <v>17</v>
      </c>
      <c r="J197" s="5"/>
      <c r="K197" s="20" t="s">
        <v>18</v>
      </c>
      <c r="L197" s="5"/>
      <c r="M197" s="109" t="s">
        <v>0</v>
      </c>
      <c r="N197" s="109" t="s">
        <v>1</v>
      </c>
      <c r="O197" s="79"/>
      <c r="P197" s="79"/>
      <c r="Q197" s="79"/>
      <c r="R197" s="151"/>
      <c r="S197" s="151"/>
      <c r="T197" s="151"/>
      <c r="U197" s="151"/>
      <c r="V197" s="151"/>
      <c r="W197" s="151"/>
      <c r="X197" s="151"/>
      <c r="Y197" s="87"/>
    </row>
    <row r="198" spans="2:25" ht="27" customHeight="1">
      <c r="B198" s="320" t="s">
        <v>355</v>
      </c>
      <c r="C198" s="319">
        <v>1</v>
      </c>
      <c r="D198" s="319">
        <v>10</v>
      </c>
      <c r="E198" s="320" t="s">
        <v>356</v>
      </c>
      <c r="F198" s="321" t="s">
        <v>357</v>
      </c>
      <c r="G198" s="321" t="s">
        <v>358</v>
      </c>
      <c r="H198" s="322" t="s">
        <v>128</v>
      </c>
      <c r="I198" s="319" t="s">
        <v>61</v>
      </c>
      <c r="J198" s="5"/>
      <c r="K198" s="325" t="s">
        <v>915</v>
      </c>
      <c r="L198" s="13"/>
      <c r="M198" s="326">
        <v>45844</v>
      </c>
      <c r="N198" s="327" t="s">
        <v>213</v>
      </c>
      <c r="O198" s="79"/>
      <c r="P198" s="79"/>
      <c r="Q198" s="79"/>
      <c r="R198" s="87"/>
      <c r="S198" s="87"/>
      <c r="T198" s="87"/>
      <c r="U198" s="87"/>
      <c r="V198" s="87"/>
      <c r="W198" s="87"/>
      <c r="X198" s="87"/>
      <c r="Y198" s="87"/>
    </row>
    <row r="199" spans="2:25" ht="27" customHeight="1">
      <c r="B199" s="16" t="s">
        <v>359</v>
      </c>
      <c r="C199" s="18">
        <v>1</v>
      </c>
      <c r="D199" s="18">
        <v>10</v>
      </c>
      <c r="E199" s="152" t="s">
        <v>360</v>
      </c>
      <c r="F199" s="232" t="s">
        <v>361</v>
      </c>
      <c r="G199" s="146" t="s">
        <v>355</v>
      </c>
      <c r="H199" s="233" t="s">
        <v>131</v>
      </c>
      <c r="I199" s="61" t="s">
        <v>61</v>
      </c>
      <c r="J199" s="5"/>
      <c r="K199" s="9" t="s">
        <v>192</v>
      </c>
      <c r="L199" s="5"/>
      <c r="M199" s="9" t="s">
        <v>192</v>
      </c>
      <c r="N199" s="9" t="s">
        <v>192</v>
      </c>
      <c r="O199" s="79"/>
      <c r="P199" s="79"/>
      <c r="Q199" s="79"/>
      <c r="R199" s="151"/>
      <c r="S199" s="151"/>
      <c r="T199" s="151"/>
      <c r="U199" s="151"/>
      <c r="V199" s="151"/>
      <c r="W199" s="151"/>
      <c r="X199" s="151"/>
      <c r="Y199" s="87"/>
    </row>
    <row r="200" spans="2:25" ht="27" customHeight="1">
      <c r="B200" s="320" t="s">
        <v>362</v>
      </c>
      <c r="C200" s="319">
        <v>1</v>
      </c>
      <c r="D200" s="319">
        <v>10</v>
      </c>
      <c r="E200" s="320" t="s">
        <v>363</v>
      </c>
      <c r="F200" s="321" t="s">
        <v>45</v>
      </c>
      <c r="G200" s="321" t="s">
        <v>358</v>
      </c>
      <c r="H200" s="322" t="s">
        <v>47</v>
      </c>
      <c r="I200" s="319" t="s">
        <v>61</v>
      </c>
      <c r="J200" s="5"/>
      <c r="K200" s="325" t="s">
        <v>919</v>
      </c>
      <c r="L200" s="13"/>
      <c r="M200" s="326">
        <v>45481</v>
      </c>
      <c r="N200" s="327" t="s">
        <v>55</v>
      </c>
      <c r="O200" s="79"/>
      <c r="P200" s="79"/>
      <c r="Q200" s="79"/>
      <c r="R200" s="87"/>
      <c r="S200" s="87"/>
      <c r="T200" s="87"/>
      <c r="U200" s="87"/>
      <c r="V200" s="87"/>
      <c r="W200" s="87"/>
      <c r="X200" s="87"/>
      <c r="Y200" s="87"/>
    </row>
    <row r="201" spans="2:25" ht="27" customHeight="1">
      <c r="B201" s="62" t="s">
        <v>364</v>
      </c>
      <c r="C201" s="61">
        <v>1</v>
      </c>
      <c r="D201" s="61">
        <v>10</v>
      </c>
      <c r="E201" s="62" t="s">
        <v>365</v>
      </c>
      <c r="F201" s="218" t="s">
        <v>818</v>
      </c>
      <c r="G201" s="145" t="s">
        <v>26</v>
      </c>
      <c r="H201" s="9" t="s">
        <v>35</v>
      </c>
      <c r="I201" s="9" t="s">
        <v>436</v>
      </c>
      <c r="J201" s="5"/>
      <c r="K201" s="9" t="s">
        <v>192</v>
      </c>
      <c r="L201" s="13"/>
      <c r="M201" s="9" t="s">
        <v>192</v>
      </c>
      <c r="N201" s="9" t="s">
        <v>192</v>
      </c>
      <c r="O201" s="79"/>
      <c r="P201" s="79"/>
      <c r="Q201" s="79"/>
      <c r="R201" s="87"/>
      <c r="S201" s="87"/>
      <c r="T201" s="87"/>
      <c r="U201" s="87"/>
      <c r="V201" s="87"/>
      <c r="W201" s="87"/>
      <c r="X201" s="87"/>
      <c r="Y201" s="87"/>
    </row>
    <row r="202" spans="2:25" ht="15.75" customHeight="1">
      <c r="B202" s="51"/>
      <c r="C202" s="52"/>
      <c r="D202" s="52"/>
      <c r="E202" s="106"/>
      <c r="F202" s="53"/>
      <c r="G202" s="53"/>
      <c r="H202" s="52"/>
      <c r="I202" s="52"/>
      <c r="J202" s="52"/>
      <c r="K202" s="118"/>
      <c r="L202" s="97"/>
      <c r="M202" s="88"/>
      <c r="N202" s="53"/>
      <c r="O202" s="53"/>
      <c r="P202" s="53"/>
      <c r="Q202" s="53"/>
      <c r="R202" s="87"/>
      <c r="S202" s="87"/>
      <c r="T202" s="87"/>
      <c r="U202" s="87"/>
      <c r="V202" s="87"/>
      <c r="W202" s="87"/>
      <c r="X202" s="87"/>
      <c r="Y202" s="87"/>
    </row>
    <row r="203" spans="2:25" ht="15.75" customHeight="1">
      <c r="B203" s="51"/>
      <c r="C203" s="52"/>
      <c r="D203" s="52"/>
      <c r="E203" s="106"/>
      <c r="F203" s="53"/>
      <c r="G203" s="53"/>
      <c r="H203" s="52"/>
      <c r="I203" s="52"/>
      <c r="J203" s="52"/>
      <c r="K203" s="118"/>
      <c r="L203" s="97"/>
      <c r="M203" s="88"/>
      <c r="N203" s="53"/>
      <c r="O203" s="53"/>
      <c r="P203" s="53"/>
      <c r="Q203" s="53"/>
      <c r="R203" s="87"/>
      <c r="S203" s="87"/>
      <c r="T203" s="87"/>
      <c r="U203" s="87"/>
      <c r="V203" s="87"/>
      <c r="W203" s="87"/>
      <c r="X203" s="87"/>
      <c r="Y203" s="87"/>
    </row>
    <row r="204" spans="2:25" ht="15.75" customHeight="1">
      <c r="B204" s="51"/>
      <c r="C204" s="52"/>
      <c r="D204" s="52"/>
      <c r="E204" s="106"/>
      <c r="F204" s="53"/>
      <c r="G204" s="53"/>
      <c r="H204" s="52"/>
      <c r="I204" s="52"/>
      <c r="J204" s="52"/>
      <c r="K204" s="118"/>
      <c r="L204" s="97"/>
      <c r="M204" s="88"/>
      <c r="N204" s="53"/>
      <c r="O204" s="53"/>
      <c r="P204" s="53"/>
      <c r="Q204" s="53"/>
      <c r="R204" s="87"/>
      <c r="S204" s="87"/>
      <c r="T204" s="87"/>
      <c r="U204" s="87"/>
      <c r="V204" s="87"/>
      <c r="W204" s="87"/>
      <c r="X204" s="87"/>
      <c r="Y204" s="87"/>
    </row>
    <row r="205" spans="2:25" ht="15.75" customHeight="1">
      <c r="B205" s="53"/>
      <c r="C205" s="52"/>
      <c r="D205" s="52"/>
      <c r="E205" s="54"/>
      <c r="F205" s="54"/>
      <c r="G205" s="53"/>
      <c r="H205" s="79"/>
      <c r="I205" s="79"/>
      <c r="J205" s="52"/>
      <c r="K205" s="118"/>
      <c r="L205" s="97"/>
      <c r="M205" s="88"/>
      <c r="N205" s="53"/>
      <c r="O205" s="53"/>
      <c r="P205" s="53"/>
      <c r="Q205" s="53"/>
      <c r="R205" s="87"/>
      <c r="S205" s="87"/>
      <c r="T205" s="87"/>
      <c r="U205" s="87"/>
      <c r="V205" s="87"/>
      <c r="W205" s="87"/>
      <c r="X205" s="87"/>
      <c r="Y205" s="87"/>
    </row>
    <row r="206" spans="2:25" ht="15.75" customHeight="1">
      <c r="B206" s="53"/>
      <c r="C206" s="52"/>
      <c r="D206" s="52"/>
      <c r="E206" s="54"/>
      <c r="F206" s="54"/>
      <c r="G206" s="53"/>
      <c r="H206" s="79"/>
      <c r="I206" s="79"/>
      <c r="J206" s="52"/>
      <c r="K206" s="118"/>
      <c r="L206" s="97"/>
      <c r="M206" s="88"/>
      <c r="N206" s="53"/>
      <c r="O206" s="53"/>
      <c r="P206" s="53"/>
      <c r="Q206" s="53"/>
      <c r="R206" s="87"/>
      <c r="S206" s="87"/>
      <c r="T206" s="87"/>
      <c r="U206" s="87"/>
      <c r="V206" s="87"/>
      <c r="W206" s="87"/>
      <c r="X206" s="87"/>
      <c r="Y206" s="87"/>
    </row>
    <row r="207" spans="2:25" ht="15.75" customHeight="1">
      <c r="B207" s="53"/>
      <c r="C207" s="52"/>
      <c r="D207" s="52"/>
      <c r="E207" s="54"/>
      <c r="F207" s="54"/>
      <c r="G207" s="126" t="s">
        <v>366</v>
      </c>
      <c r="H207" s="79"/>
      <c r="I207" s="79"/>
      <c r="J207" s="52"/>
      <c r="K207" s="118"/>
      <c r="L207" s="97"/>
      <c r="M207" s="88"/>
      <c r="N207" s="53"/>
      <c r="O207" s="53"/>
      <c r="P207" s="53"/>
      <c r="Q207" s="53"/>
      <c r="R207" s="87"/>
      <c r="S207" s="87"/>
      <c r="T207" s="87"/>
      <c r="U207" s="87"/>
      <c r="V207" s="87"/>
      <c r="W207" s="87"/>
      <c r="X207" s="87"/>
      <c r="Y207" s="87"/>
    </row>
    <row r="208" spans="2:25" ht="15.75" customHeight="1">
      <c r="B208" s="53"/>
      <c r="C208" s="52"/>
      <c r="D208" s="52"/>
      <c r="E208" s="54"/>
      <c r="F208" s="54"/>
      <c r="G208" s="98"/>
      <c r="H208" s="79"/>
      <c r="I208" s="79"/>
      <c r="J208" s="52"/>
      <c r="K208" s="118"/>
      <c r="L208" s="97"/>
      <c r="M208" s="88"/>
      <c r="N208" s="53"/>
      <c r="O208" s="53"/>
      <c r="P208" s="53"/>
      <c r="Q208" s="53"/>
      <c r="R208" s="87"/>
      <c r="S208" s="87"/>
      <c r="T208" s="87"/>
      <c r="U208" s="87"/>
      <c r="V208" s="87"/>
      <c r="W208" s="87"/>
      <c r="X208" s="87"/>
      <c r="Y208" s="87"/>
    </row>
    <row r="209" spans="2:25" ht="15.75" customHeight="1">
      <c r="B209" s="53"/>
      <c r="C209" s="52"/>
      <c r="D209" s="52"/>
      <c r="E209" s="79"/>
      <c r="F209" s="79"/>
      <c r="G209" s="127" t="s">
        <v>367</v>
      </c>
      <c r="H209" s="52"/>
      <c r="I209" s="52"/>
      <c r="J209" s="52"/>
      <c r="K209" s="118"/>
      <c r="L209" s="97"/>
      <c r="M209" s="88"/>
      <c r="N209" s="53"/>
      <c r="O209" s="53"/>
      <c r="P209" s="53"/>
      <c r="Q209" s="53"/>
      <c r="R209" s="87"/>
      <c r="S209" s="87"/>
      <c r="T209" s="87"/>
      <c r="U209" s="87"/>
      <c r="V209" s="87"/>
      <c r="W209" s="87"/>
      <c r="X209" s="87"/>
      <c r="Y209" s="87"/>
    </row>
    <row r="210" spans="2:25" ht="15.75" customHeight="1">
      <c r="B210" s="51"/>
      <c r="C210" s="52"/>
      <c r="D210" s="52"/>
      <c r="E210" s="106"/>
      <c r="F210" s="53"/>
      <c r="G210" s="53"/>
      <c r="H210" s="52"/>
      <c r="I210" s="52"/>
      <c r="J210" s="52"/>
      <c r="K210" s="118"/>
      <c r="L210" s="97"/>
      <c r="M210" s="88"/>
      <c r="N210" s="53"/>
      <c r="O210" s="53"/>
      <c r="P210" s="53"/>
      <c r="Q210" s="53"/>
      <c r="R210" s="87"/>
      <c r="S210" s="87"/>
      <c r="T210" s="87"/>
      <c r="U210" s="87"/>
      <c r="V210" s="87"/>
      <c r="W210" s="87"/>
      <c r="X210" s="87"/>
      <c r="Y210" s="87"/>
    </row>
    <row r="211" spans="2:25" ht="15.75" customHeight="1">
      <c r="B211" s="51"/>
      <c r="C211" s="52"/>
      <c r="D211" s="52"/>
      <c r="E211" s="106"/>
      <c r="F211" s="53"/>
      <c r="G211" s="53"/>
      <c r="H211" s="52"/>
      <c r="I211" s="52"/>
      <c r="J211" s="52"/>
      <c r="K211" s="119"/>
      <c r="L211" s="97"/>
      <c r="M211" s="88"/>
      <c r="N211" s="53"/>
      <c r="O211" s="53"/>
      <c r="P211" s="53"/>
      <c r="Q211" s="53"/>
      <c r="R211" s="87"/>
      <c r="S211" s="87"/>
      <c r="T211" s="87"/>
      <c r="U211" s="87"/>
      <c r="V211" s="87"/>
      <c r="W211" s="87"/>
      <c r="X211" s="87"/>
      <c r="Y211" s="87"/>
    </row>
    <row r="212" spans="2:25" ht="15.75" customHeight="1">
      <c r="B212" s="52"/>
      <c r="C212" s="52"/>
      <c r="D212" s="52"/>
      <c r="E212" s="52"/>
      <c r="F212" s="53"/>
      <c r="G212" s="53"/>
      <c r="H212" s="52"/>
      <c r="I212" s="52"/>
      <c r="J212" s="52"/>
      <c r="K212" s="120"/>
      <c r="L212" s="97"/>
      <c r="M212" s="139"/>
      <c r="N212" s="53"/>
      <c r="O212" s="53"/>
      <c r="P212" s="53"/>
      <c r="Q212" s="53"/>
      <c r="R212" s="87"/>
      <c r="S212" s="87"/>
      <c r="T212" s="87"/>
      <c r="U212" s="87"/>
      <c r="V212" s="87"/>
      <c r="W212" s="87"/>
      <c r="X212" s="87"/>
      <c r="Y212" s="87"/>
    </row>
    <row r="213" spans="2:25" ht="15" customHeight="1">
      <c r="B213" s="98"/>
      <c r="C213" s="52"/>
      <c r="D213" s="53"/>
      <c r="E213" s="51"/>
      <c r="F213" s="53"/>
      <c r="G213" s="53"/>
      <c r="H213" s="52"/>
      <c r="I213" s="52"/>
      <c r="J213" s="52"/>
      <c r="K213" s="119"/>
      <c r="L213" s="97"/>
      <c r="M213" s="98"/>
      <c r="N213" s="53"/>
      <c r="O213" s="53"/>
      <c r="P213" s="53"/>
      <c r="Q213" s="53"/>
      <c r="R213" s="87"/>
      <c r="S213" s="87"/>
      <c r="T213" s="87"/>
      <c r="U213" s="87"/>
      <c r="V213" s="87"/>
      <c r="W213" s="87"/>
      <c r="X213" s="87"/>
      <c r="Y213" s="87"/>
    </row>
    <row r="214" spans="2:25" ht="27" customHeight="1">
      <c r="B214" s="102" t="s">
        <v>368</v>
      </c>
      <c r="C214" s="52"/>
      <c r="D214" s="53"/>
      <c r="E214" s="51"/>
      <c r="F214" s="53"/>
      <c r="G214" s="52"/>
      <c r="H214" s="52"/>
      <c r="I214" s="52"/>
      <c r="J214" s="52"/>
      <c r="K214" s="119"/>
      <c r="L214" s="97"/>
      <c r="M214" s="54" t="s">
        <v>4</v>
      </c>
      <c r="N214" s="53"/>
      <c r="O214" s="53"/>
      <c r="P214" s="53"/>
      <c r="Q214" s="53"/>
      <c r="R214" s="87"/>
      <c r="S214" s="87"/>
      <c r="T214" s="87"/>
      <c r="U214" s="87"/>
      <c r="V214" s="87"/>
      <c r="W214" s="87"/>
      <c r="X214" s="87"/>
      <c r="Y214" s="87"/>
    </row>
    <row r="215" spans="2:25" ht="27" customHeight="1">
      <c r="B215" s="51"/>
      <c r="C215" s="52"/>
      <c r="D215" s="52"/>
      <c r="E215" s="52"/>
      <c r="F215" s="53"/>
      <c r="G215" s="52"/>
      <c r="H215" s="52"/>
      <c r="I215" s="52"/>
      <c r="J215" s="52"/>
      <c r="K215" s="72"/>
      <c r="L215" s="97"/>
      <c r="M215" s="193" t="s">
        <v>5</v>
      </c>
      <c r="N215" s="53"/>
      <c r="O215" s="53"/>
      <c r="P215" s="53"/>
      <c r="Q215" s="53"/>
      <c r="R215" s="87"/>
      <c r="S215" s="87"/>
      <c r="T215" s="87"/>
      <c r="U215" s="87"/>
      <c r="V215" s="87"/>
      <c r="W215" s="87"/>
      <c r="X215" s="87"/>
      <c r="Y215" s="87"/>
    </row>
    <row r="216" spans="2:25" ht="19.5" customHeight="1">
      <c r="B216" s="103" t="s">
        <v>369</v>
      </c>
      <c r="C216" s="54"/>
      <c r="D216" s="79"/>
      <c r="E216" s="54"/>
      <c r="F216" s="53"/>
      <c r="G216" s="53" t="s">
        <v>234</v>
      </c>
      <c r="H216" s="52"/>
      <c r="I216" s="52"/>
      <c r="J216" s="52"/>
      <c r="K216" s="72"/>
      <c r="L216" s="104"/>
      <c r="M216" s="79"/>
      <c r="N216" s="53"/>
      <c r="O216" s="53"/>
      <c r="P216" s="53"/>
      <c r="Q216" s="53"/>
      <c r="R216" s="87"/>
      <c r="S216" s="87"/>
      <c r="T216" s="87"/>
      <c r="U216" s="87"/>
      <c r="V216" s="87"/>
      <c r="W216" s="87"/>
      <c r="X216" s="87"/>
      <c r="Y216" s="87"/>
    </row>
    <row r="217" spans="2:25" ht="27.75" customHeight="1">
      <c r="B217" s="264"/>
      <c r="C217" s="263"/>
      <c r="D217" s="262"/>
      <c r="E217" s="263"/>
      <c r="F217" s="263"/>
      <c r="G217" s="263"/>
      <c r="H217" s="105" t="s">
        <v>7</v>
      </c>
      <c r="I217" s="71" t="s">
        <v>8</v>
      </c>
      <c r="J217" s="268"/>
      <c r="K217" s="20" t="s">
        <v>9</v>
      </c>
      <c r="L217" s="268"/>
      <c r="M217" s="431" t="s">
        <v>10</v>
      </c>
      <c r="N217" s="432"/>
      <c r="O217" s="52"/>
      <c r="P217" s="431" t="s">
        <v>914</v>
      </c>
      <c r="Q217" s="432"/>
      <c r="R217" s="87"/>
      <c r="S217" s="87"/>
      <c r="T217" s="87"/>
      <c r="U217" s="87"/>
      <c r="V217" s="87"/>
      <c r="W217" s="87"/>
      <c r="X217" s="87"/>
      <c r="Y217" s="87"/>
    </row>
    <row r="218" spans="2:25" ht="27" customHeight="1">
      <c r="B218" s="21" t="s">
        <v>11</v>
      </c>
      <c r="C218" s="20" t="s">
        <v>12</v>
      </c>
      <c r="D218" s="20" t="s">
        <v>13</v>
      </c>
      <c r="E218" s="21" t="s">
        <v>14</v>
      </c>
      <c r="F218" s="21" t="s">
        <v>15</v>
      </c>
      <c r="G218" s="10" t="s">
        <v>16</v>
      </c>
      <c r="H218" s="4" t="s">
        <v>17</v>
      </c>
      <c r="I218" s="4" t="s">
        <v>17</v>
      </c>
      <c r="J218" s="5"/>
      <c r="K218" s="20" t="s">
        <v>18</v>
      </c>
      <c r="L218" s="5"/>
      <c r="M218" s="109" t="s">
        <v>0</v>
      </c>
      <c r="N218" s="109" t="s">
        <v>1</v>
      </c>
      <c r="O218" s="6"/>
      <c r="P218" s="96" t="s">
        <v>0</v>
      </c>
      <c r="Q218" s="96" t="s">
        <v>1</v>
      </c>
      <c r="R218" s="87"/>
      <c r="S218" s="87"/>
      <c r="T218" s="87"/>
      <c r="U218" s="87"/>
      <c r="V218" s="87"/>
      <c r="W218" s="87"/>
      <c r="X218" s="87"/>
      <c r="Y218" s="87"/>
    </row>
    <row r="219" spans="2:25" ht="27" customHeight="1">
      <c r="B219" s="320" t="s">
        <v>370</v>
      </c>
      <c r="C219" s="319">
        <v>1</v>
      </c>
      <c r="D219" s="319">
        <v>10</v>
      </c>
      <c r="E219" s="320" t="s">
        <v>371</v>
      </c>
      <c r="F219" s="321" t="s">
        <v>372</v>
      </c>
      <c r="G219" s="321" t="s">
        <v>373</v>
      </c>
      <c r="H219" s="322" t="s">
        <v>48</v>
      </c>
      <c r="I219" s="319" t="s">
        <v>374</v>
      </c>
      <c r="J219" s="5"/>
      <c r="K219" s="325" t="s">
        <v>855</v>
      </c>
      <c r="L219" s="13"/>
      <c r="M219" s="326">
        <v>45479</v>
      </c>
      <c r="N219" s="327" t="s">
        <v>29</v>
      </c>
      <c r="O219" s="13"/>
      <c r="P219" s="326">
        <v>45479</v>
      </c>
      <c r="Q219" s="327">
        <v>0.72916666666666663</v>
      </c>
      <c r="R219" s="87"/>
      <c r="S219" s="87"/>
      <c r="T219" s="87"/>
      <c r="U219" s="87"/>
      <c r="V219" s="87"/>
      <c r="W219" s="87"/>
      <c r="X219" s="87"/>
      <c r="Y219" s="87"/>
    </row>
    <row r="220" spans="2:25" ht="27" customHeight="1">
      <c r="B220" s="320" t="s">
        <v>370</v>
      </c>
      <c r="C220" s="319">
        <v>2</v>
      </c>
      <c r="D220" s="319">
        <v>10</v>
      </c>
      <c r="E220" s="320" t="s">
        <v>371</v>
      </c>
      <c r="F220" s="321" t="s">
        <v>376</v>
      </c>
      <c r="G220" s="321" t="s">
        <v>373</v>
      </c>
      <c r="H220" s="322" t="s">
        <v>27</v>
      </c>
      <c r="I220" s="319" t="s">
        <v>374</v>
      </c>
      <c r="J220" s="5"/>
      <c r="K220" s="325" t="s">
        <v>855</v>
      </c>
      <c r="L220" s="13"/>
      <c r="M220" s="326">
        <v>45479</v>
      </c>
      <c r="N220" s="327" t="s">
        <v>29</v>
      </c>
      <c r="O220" s="13"/>
      <c r="P220" s="326">
        <v>45479</v>
      </c>
      <c r="Q220" s="327">
        <v>0.72916666666666663</v>
      </c>
      <c r="R220" s="87"/>
      <c r="S220" s="87"/>
      <c r="T220" s="87"/>
      <c r="U220" s="87"/>
      <c r="V220" s="87"/>
      <c r="W220" s="87"/>
      <c r="X220" s="87"/>
      <c r="Y220" s="87"/>
    </row>
    <row r="221" spans="2:25" ht="27" customHeight="1">
      <c r="B221" s="320" t="s">
        <v>370</v>
      </c>
      <c r="C221" s="319">
        <v>3</v>
      </c>
      <c r="D221" s="319">
        <v>10</v>
      </c>
      <c r="E221" s="320" t="s">
        <v>371</v>
      </c>
      <c r="F221" s="321" t="s">
        <v>376</v>
      </c>
      <c r="G221" s="321" t="s">
        <v>373</v>
      </c>
      <c r="H221" s="322" t="s">
        <v>35</v>
      </c>
      <c r="I221" s="319" t="s">
        <v>374</v>
      </c>
      <c r="J221" s="5"/>
      <c r="K221" s="325" t="s">
        <v>855</v>
      </c>
      <c r="L221" s="13"/>
      <c r="M221" s="326">
        <v>45479</v>
      </c>
      <c r="N221" s="327" t="s">
        <v>29</v>
      </c>
      <c r="O221" s="13"/>
      <c r="P221" s="326">
        <v>45479</v>
      </c>
      <c r="Q221" s="327">
        <v>0.72916666666666663</v>
      </c>
      <c r="R221" s="87"/>
      <c r="S221" s="87"/>
      <c r="T221" s="87"/>
      <c r="U221" s="87"/>
      <c r="V221" s="87"/>
      <c r="W221" s="87"/>
      <c r="X221" s="87"/>
      <c r="Y221" s="87"/>
    </row>
    <row r="222" spans="2:25" ht="27" customHeight="1">
      <c r="B222" s="320" t="s">
        <v>370</v>
      </c>
      <c r="C222" s="319">
        <v>4</v>
      </c>
      <c r="D222" s="319">
        <v>10</v>
      </c>
      <c r="E222" s="320" t="s">
        <v>371</v>
      </c>
      <c r="F222" s="321" t="s">
        <v>377</v>
      </c>
      <c r="G222" s="321" t="s">
        <v>373</v>
      </c>
      <c r="H222" s="322" t="s">
        <v>44</v>
      </c>
      <c r="I222" s="319" t="s">
        <v>374</v>
      </c>
      <c r="J222" s="5"/>
      <c r="K222" s="325" t="s">
        <v>855</v>
      </c>
      <c r="L222" s="13"/>
      <c r="M222" s="326">
        <v>45479</v>
      </c>
      <c r="N222" s="327" t="s">
        <v>29</v>
      </c>
      <c r="O222" s="13"/>
      <c r="P222" s="326">
        <v>45479</v>
      </c>
      <c r="Q222" s="327">
        <v>0.72916666666666663</v>
      </c>
      <c r="R222" s="87"/>
      <c r="S222" s="87"/>
      <c r="T222" s="87"/>
      <c r="U222" s="87"/>
      <c r="V222" s="87"/>
      <c r="W222" s="87"/>
      <c r="X222" s="87"/>
      <c r="Y222" s="87"/>
    </row>
    <row r="223" spans="2:25" ht="27" customHeight="1">
      <c r="B223" s="320" t="s">
        <v>370</v>
      </c>
      <c r="C223" s="319">
        <v>5</v>
      </c>
      <c r="D223" s="319">
        <v>10</v>
      </c>
      <c r="E223" s="320" t="s">
        <v>371</v>
      </c>
      <c r="F223" s="321" t="s">
        <v>378</v>
      </c>
      <c r="G223" s="321" t="s">
        <v>373</v>
      </c>
      <c r="H223" s="322" t="s">
        <v>31</v>
      </c>
      <c r="I223" s="319" t="s">
        <v>374</v>
      </c>
      <c r="J223" s="5"/>
      <c r="K223" s="325" t="s">
        <v>855</v>
      </c>
      <c r="L223" s="13"/>
      <c r="M223" s="326">
        <v>45479</v>
      </c>
      <c r="N223" s="327" t="s">
        <v>29</v>
      </c>
      <c r="O223" s="13"/>
      <c r="P223" s="326">
        <v>45479</v>
      </c>
      <c r="Q223" s="327">
        <v>0.72916666666666663</v>
      </c>
      <c r="R223" s="87"/>
      <c r="S223" s="87"/>
      <c r="T223" s="87"/>
      <c r="U223" s="87"/>
      <c r="V223" s="87"/>
      <c r="W223" s="87"/>
      <c r="X223" s="87"/>
      <c r="Y223" s="87"/>
    </row>
    <row r="224" spans="2:25" ht="27" customHeight="1">
      <c r="B224" s="320" t="s">
        <v>370</v>
      </c>
      <c r="C224" s="319">
        <v>6</v>
      </c>
      <c r="D224" s="319">
        <v>10</v>
      </c>
      <c r="E224" s="320" t="s">
        <v>371</v>
      </c>
      <c r="F224" s="321" t="s">
        <v>377</v>
      </c>
      <c r="G224" s="321" t="s">
        <v>373</v>
      </c>
      <c r="H224" s="322" t="s">
        <v>48</v>
      </c>
      <c r="I224" s="319" t="s">
        <v>374</v>
      </c>
      <c r="J224" s="5"/>
      <c r="K224" s="325" t="s">
        <v>855</v>
      </c>
      <c r="L224" s="13"/>
      <c r="M224" s="326">
        <v>45479</v>
      </c>
      <c r="N224" s="327" t="s">
        <v>29</v>
      </c>
      <c r="O224" s="13"/>
      <c r="P224" s="326">
        <v>45479</v>
      </c>
      <c r="Q224" s="327">
        <v>0.72916666666666663</v>
      </c>
      <c r="R224" s="87"/>
      <c r="S224" s="87"/>
      <c r="T224" s="87"/>
      <c r="U224" s="87"/>
      <c r="V224" s="87"/>
      <c r="W224" s="87"/>
      <c r="X224" s="87"/>
      <c r="Y224" s="87"/>
    </row>
    <row r="225" spans="1:34" ht="27" customHeight="1">
      <c r="B225" s="320" t="s">
        <v>370</v>
      </c>
      <c r="C225" s="319">
        <v>7</v>
      </c>
      <c r="D225" s="319">
        <v>10</v>
      </c>
      <c r="E225" s="320" t="s">
        <v>371</v>
      </c>
      <c r="F225" s="321" t="s">
        <v>379</v>
      </c>
      <c r="G225" s="321" t="s">
        <v>373</v>
      </c>
      <c r="H225" s="322" t="s">
        <v>44</v>
      </c>
      <c r="I225" s="319" t="s">
        <v>374</v>
      </c>
      <c r="J225" s="5"/>
      <c r="K225" s="325" t="s">
        <v>855</v>
      </c>
      <c r="L225" s="13"/>
      <c r="M225" s="326">
        <v>45479</v>
      </c>
      <c r="N225" s="327" t="s">
        <v>29</v>
      </c>
      <c r="O225" s="13"/>
      <c r="P225" s="326">
        <v>45479</v>
      </c>
      <c r="Q225" s="327">
        <v>0.72916666666666663</v>
      </c>
      <c r="R225" s="87"/>
      <c r="S225" s="87"/>
      <c r="T225" s="87"/>
      <c r="U225" s="87"/>
      <c r="V225" s="87"/>
      <c r="W225" s="87"/>
      <c r="X225" s="87"/>
      <c r="Y225" s="87"/>
    </row>
    <row r="226" spans="1:34" ht="27" customHeight="1">
      <c r="B226" s="320" t="s">
        <v>370</v>
      </c>
      <c r="C226" s="319">
        <v>8</v>
      </c>
      <c r="D226" s="319">
        <v>10</v>
      </c>
      <c r="E226" s="320" t="s">
        <v>371</v>
      </c>
      <c r="F226" s="321" t="s">
        <v>380</v>
      </c>
      <c r="G226" s="321" t="s">
        <v>373</v>
      </c>
      <c r="H226" s="322" t="s">
        <v>44</v>
      </c>
      <c r="I226" s="319" t="s">
        <v>374</v>
      </c>
      <c r="J226" s="5"/>
      <c r="K226" s="325" t="s">
        <v>855</v>
      </c>
      <c r="L226" s="13"/>
      <c r="M226" s="326">
        <v>45479</v>
      </c>
      <c r="N226" s="327" t="s">
        <v>29</v>
      </c>
      <c r="O226" s="13"/>
      <c r="P226" s="326">
        <v>45479</v>
      </c>
      <c r="Q226" s="327">
        <v>0.72916666666666663</v>
      </c>
      <c r="R226" s="87"/>
      <c r="S226" s="87"/>
      <c r="T226" s="87"/>
      <c r="U226" s="87"/>
      <c r="V226" s="87"/>
      <c r="W226" s="87"/>
      <c r="X226" s="87"/>
      <c r="Y226" s="87"/>
    </row>
    <row r="227" spans="1:34" s="121" customFormat="1" ht="27" customHeight="1">
      <c r="A227" s="131"/>
      <c r="B227" s="62" t="s">
        <v>381</v>
      </c>
      <c r="C227" s="61">
        <v>1</v>
      </c>
      <c r="D227" s="61">
        <v>10</v>
      </c>
      <c r="E227" s="62" t="s">
        <v>382</v>
      </c>
      <c r="F227" s="177" t="s">
        <v>383</v>
      </c>
      <c r="G227" s="177" t="s">
        <v>370</v>
      </c>
      <c r="H227" s="234" t="s">
        <v>36</v>
      </c>
      <c r="I227" s="61" t="s">
        <v>384</v>
      </c>
      <c r="J227" s="153"/>
      <c r="K227" s="181" t="s">
        <v>855</v>
      </c>
      <c r="L227" s="153"/>
      <c r="M227" s="15">
        <v>45479</v>
      </c>
      <c r="N227" s="286" t="s">
        <v>29</v>
      </c>
      <c r="O227" s="6"/>
      <c r="P227" s="15">
        <v>45479</v>
      </c>
      <c r="Q227" s="286">
        <v>0.72916666666666663</v>
      </c>
      <c r="R227" s="130"/>
      <c r="S227" s="130"/>
      <c r="T227" s="130"/>
      <c r="U227" s="130"/>
      <c r="V227" s="130"/>
      <c r="W227" s="130"/>
      <c r="X227" s="130"/>
      <c r="Y227" s="130"/>
      <c r="Z227" s="131"/>
      <c r="AA227" s="131"/>
      <c r="AB227" s="131"/>
      <c r="AC227" s="131"/>
      <c r="AD227" s="131"/>
      <c r="AE227" s="131"/>
      <c r="AF227" s="131"/>
      <c r="AG227" s="131"/>
      <c r="AH227" s="131"/>
    </row>
    <row r="228" spans="1:34" s="121" customFormat="1" ht="27" customHeight="1">
      <c r="A228" s="131"/>
      <c r="B228" s="62" t="s">
        <v>381</v>
      </c>
      <c r="C228" s="61">
        <v>2</v>
      </c>
      <c r="D228" s="61">
        <v>10</v>
      </c>
      <c r="E228" s="62" t="s">
        <v>382</v>
      </c>
      <c r="F228" s="177" t="s">
        <v>383</v>
      </c>
      <c r="G228" s="177" t="s">
        <v>370</v>
      </c>
      <c r="H228" s="234" t="s">
        <v>35</v>
      </c>
      <c r="I228" s="61" t="s">
        <v>384</v>
      </c>
      <c r="J228" s="153"/>
      <c r="K228" s="181" t="s">
        <v>855</v>
      </c>
      <c r="L228" s="153"/>
      <c r="M228" s="15">
        <v>45479</v>
      </c>
      <c r="N228" s="286" t="s">
        <v>29</v>
      </c>
      <c r="O228" s="6"/>
      <c r="P228" s="15">
        <v>45479</v>
      </c>
      <c r="Q228" s="286">
        <v>0.72916666666666663</v>
      </c>
      <c r="R228" s="130"/>
      <c r="S228" s="130"/>
      <c r="T228" s="130"/>
      <c r="U228" s="130"/>
      <c r="V228" s="130"/>
      <c r="W228" s="130"/>
      <c r="X228" s="130"/>
      <c r="Y228" s="130"/>
      <c r="Z228" s="131"/>
      <c r="AA228" s="131"/>
      <c r="AB228" s="131"/>
      <c r="AC228" s="131"/>
      <c r="AD228" s="131"/>
      <c r="AE228" s="131"/>
      <c r="AF228" s="131"/>
      <c r="AG228" s="131"/>
      <c r="AH228" s="131"/>
    </row>
    <row r="229" spans="1:34" s="121" customFormat="1" ht="27" customHeight="1">
      <c r="A229" s="131"/>
      <c r="B229" s="62" t="s">
        <v>381</v>
      </c>
      <c r="C229" s="61">
        <v>3</v>
      </c>
      <c r="D229" s="61">
        <v>10</v>
      </c>
      <c r="E229" s="62" t="s">
        <v>382</v>
      </c>
      <c r="F229" s="177" t="s">
        <v>385</v>
      </c>
      <c r="G229" s="177" t="s">
        <v>370</v>
      </c>
      <c r="H229" s="233" t="s">
        <v>47</v>
      </c>
      <c r="I229" s="61" t="s">
        <v>384</v>
      </c>
      <c r="J229" s="153"/>
      <c r="K229" s="181" t="s">
        <v>855</v>
      </c>
      <c r="L229" s="153"/>
      <c r="M229" s="15">
        <v>45479</v>
      </c>
      <c r="N229" s="286" t="s">
        <v>29</v>
      </c>
      <c r="O229" s="6"/>
      <c r="P229" s="15">
        <v>45479</v>
      </c>
      <c r="Q229" s="286">
        <v>0.72916666666666663</v>
      </c>
      <c r="R229" s="130"/>
      <c r="S229" s="130"/>
      <c r="T229" s="130"/>
      <c r="U229" s="130"/>
      <c r="V229" s="130"/>
      <c r="W229" s="130"/>
      <c r="X229" s="130"/>
      <c r="Y229" s="130"/>
      <c r="Z229" s="131"/>
      <c r="AA229" s="131"/>
      <c r="AB229" s="131"/>
      <c r="AC229" s="131"/>
      <c r="AD229" s="131"/>
      <c r="AE229" s="131"/>
      <c r="AF229" s="131"/>
      <c r="AG229" s="131"/>
      <c r="AH229" s="131"/>
    </row>
    <row r="230" spans="1:34" s="121" customFormat="1" ht="27" customHeight="1">
      <c r="A230" s="131"/>
      <c r="B230" s="62" t="s">
        <v>381</v>
      </c>
      <c r="C230" s="61">
        <v>4</v>
      </c>
      <c r="D230" s="61">
        <v>10</v>
      </c>
      <c r="E230" s="62" t="s">
        <v>382</v>
      </c>
      <c r="F230" s="177" t="s">
        <v>386</v>
      </c>
      <c r="G230" s="177" t="s">
        <v>370</v>
      </c>
      <c r="H230" s="61" t="s">
        <v>44</v>
      </c>
      <c r="I230" s="61" t="s">
        <v>384</v>
      </c>
      <c r="J230" s="153"/>
      <c r="K230" s="181" t="s">
        <v>855</v>
      </c>
      <c r="L230" s="153"/>
      <c r="M230" s="15">
        <v>45479</v>
      </c>
      <c r="N230" s="286" t="s">
        <v>29</v>
      </c>
      <c r="O230" s="6"/>
      <c r="P230" s="15">
        <v>45479</v>
      </c>
      <c r="Q230" s="286">
        <v>0.72916666666666663</v>
      </c>
      <c r="R230" s="130"/>
      <c r="S230" s="130"/>
      <c r="T230" s="130"/>
      <c r="U230" s="130"/>
      <c r="V230" s="130"/>
      <c r="W230" s="130"/>
      <c r="X230" s="130"/>
      <c r="Y230" s="130"/>
      <c r="Z230" s="131"/>
      <c r="AA230" s="131"/>
      <c r="AB230" s="131"/>
      <c r="AC230" s="131"/>
      <c r="AD230" s="131"/>
      <c r="AE230" s="131"/>
      <c r="AF230" s="131"/>
      <c r="AG230" s="131"/>
      <c r="AH230" s="131"/>
    </row>
    <row r="231" spans="1:34" ht="27" customHeight="1">
      <c r="B231" s="320" t="s">
        <v>387</v>
      </c>
      <c r="C231" s="319">
        <v>1</v>
      </c>
      <c r="D231" s="319">
        <v>10</v>
      </c>
      <c r="E231" s="320" t="s">
        <v>388</v>
      </c>
      <c r="F231" s="321" t="s">
        <v>389</v>
      </c>
      <c r="G231" s="321" t="s">
        <v>381</v>
      </c>
      <c r="H231" s="322" t="s">
        <v>49</v>
      </c>
      <c r="I231" s="319" t="s">
        <v>384</v>
      </c>
      <c r="J231" s="5"/>
      <c r="K231" s="325" t="s">
        <v>856</v>
      </c>
      <c r="L231" s="13"/>
      <c r="M231" s="326">
        <v>45479</v>
      </c>
      <c r="N231" s="327" t="s">
        <v>29</v>
      </c>
      <c r="O231" s="13"/>
      <c r="P231" s="326">
        <v>45479</v>
      </c>
      <c r="Q231" s="327">
        <v>0.72916666666666663</v>
      </c>
      <c r="R231" s="87"/>
      <c r="S231" s="87"/>
      <c r="T231" s="87"/>
      <c r="U231" s="87"/>
      <c r="V231" s="87"/>
      <c r="W231" s="87"/>
      <c r="X231" s="87"/>
      <c r="Y231" s="87"/>
    </row>
    <row r="232" spans="1:34" ht="27" customHeight="1">
      <c r="B232" s="320" t="s">
        <v>387</v>
      </c>
      <c r="C232" s="319">
        <v>2</v>
      </c>
      <c r="D232" s="319">
        <v>10</v>
      </c>
      <c r="E232" s="320" t="s">
        <v>388</v>
      </c>
      <c r="F232" s="321" t="s">
        <v>389</v>
      </c>
      <c r="G232" s="321" t="s">
        <v>381</v>
      </c>
      <c r="H232" s="322" t="s">
        <v>47</v>
      </c>
      <c r="I232" s="319" t="s">
        <v>384</v>
      </c>
      <c r="J232" s="5"/>
      <c r="K232" s="325" t="s">
        <v>856</v>
      </c>
      <c r="L232" s="13"/>
      <c r="M232" s="326">
        <v>45479</v>
      </c>
      <c r="N232" s="327" t="s">
        <v>29</v>
      </c>
      <c r="O232" s="13"/>
      <c r="P232" s="326">
        <v>45479</v>
      </c>
      <c r="Q232" s="327">
        <v>0.72916666666666663</v>
      </c>
      <c r="R232" s="87"/>
      <c r="S232" s="87"/>
      <c r="T232" s="87"/>
      <c r="U232" s="87"/>
      <c r="V232" s="87"/>
      <c r="W232" s="87"/>
      <c r="X232" s="87"/>
      <c r="Y232" s="87"/>
    </row>
    <row r="233" spans="1:34" ht="27" customHeight="1">
      <c r="B233" s="320" t="s">
        <v>387</v>
      </c>
      <c r="C233" s="319">
        <v>3</v>
      </c>
      <c r="D233" s="319">
        <v>10</v>
      </c>
      <c r="E233" s="320" t="s">
        <v>388</v>
      </c>
      <c r="F233" s="321" t="s">
        <v>390</v>
      </c>
      <c r="G233" s="321" t="s">
        <v>381</v>
      </c>
      <c r="H233" s="322" t="s">
        <v>44</v>
      </c>
      <c r="I233" s="319" t="s">
        <v>384</v>
      </c>
      <c r="J233" s="5"/>
      <c r="K233" s="325" t="s">
        <v>856</v>
      </c>
      <c r="L233" s="13"/>
      <c r="M233" s="326">
        <v>45479</v>
      </c>
      <c r="N233" s="327" t="s">
        <v>29</v>
      </c>
      <c r="O233" s="13"/>
      <c r="P233" s="326">
        <v>45479</v>
      </c>
      <c r="Q233" s="327">
        <v>0.72916666666666663</v>
      </c>
      <c r="R233" s="87"/>
      <c r="S233" s="87"/>
      <c r="T233" s="87"/>
      <c r="U233" s="87"/>
      <c r="V233" s="87"/>
      <c r="W233" s="87"/>
      <c r="X233" s="87"/>
      <c r="Y233" s="87"/>
    </row>
    <row r="234" spans="1:34" ht="27" customHeight="1">
      <c r="B234" s="320" t="s">
        <v>387</v>
      </c>
      <c r="C234" s="319">
        <v>4</v>
      </c>
      <c r="D234" s="319">
        <v>10</v>
      </c>
      <c r="E234" s="320" t="s">
        <v>388</v>
      </c>
      <c r="F234" s="321" t="s">
        <v>391</v>
      </c>
      <c r="G234" s="321" t="s">
        <v>381</v>
      </c>
      <c r="H234" s="322" t="s">
        <v>48</v>
      </c>
      <c r="I234" s="319" t="s">
        <v>384</v>
      </c>
      <c r="J234" s="5"/>
      <c r="K234" s="325" t="s">
        <v>856</v>
      </c>
      <c r="L234" s="13"/>
      <c r="M234" s="326">
        <v>45479</v>
      </c>
      <c r="N234" s="327" t="s">
        <v>29</v>
      </c>
      <c r="O234" s="13"/>
      <c r="P234" s="326">
        <v>45479</v>
      </c>
      <c r="Q234" s="327">
        <v>0.72916666666666663</v>
      </c>
      <c r="R234" s="87"/>
      <c r="S234" s="87"/>
      <c r="T234" s="87"/>
      <c r="U234" s="87"/>
      <c r="V234" s="87"/>
      <c r="W234" s="87"/>
      <c r="X234" s="87"/>
      <c r="Y234" s="87"/>
    </row>
    <row r="235" spans="1:34" ht="27" customHeight="1">
      <c r="B235" s="320" t="s">
        <v>387</v>
      </c>
      <c r="C235" s="319">
        <v>5</v>
      </c>
      <c r="D235" s="319">
        <v>10</v>
      </c>
      <c r="E235" s="320" t="s">
        <v>388</v>
      </c>
      <c r="F235" s="321" t="s">
        <v>391</v>
      </c>
      <c r="G235" s="321" t="s">
        <v>381</v>
      </c>
      <c r="H235" s="322" t="s">
        <v>34</v>
      </c>
      <c r="I235" s="319" t="s">
        <v>384</v>
      </c>
      <c r="J235" s="5"/>
      <c r="K235" s="325" t="s">
        <v>856</v>
      </c>
      <c r="L235" s="13"/>
      <c r="M235" s="326">
        <v>45479</v>
      </c>
      <c r="N235" s="327" t="s">
        <v>29</v>
      </c>
      <c r="O235" s="13"/>
      <c r="P235" s="326">
        <v>45479</v>
      </c>
      <c r="Q235" s="327">
        <v>0.72916666666666663</v>
      </c>
      <c r="R235" s="87"/>
      <c r="S235" s="87"/>
      <c r="T235" s="87"/>
      <c r="U235" s="87"/>
      <c r="V235" s="87"/>
      <c r="W235" s="87"/>
      <c r="X235" s="87"/>
      <c r="Y235" s="87"/>
    </row>
    <row r="236" spans="1:34" ht="27" customHeight="1">
      <c r="B236" s="8" t="s">
        <v>162</v>
      </c>
      <c r="C236" s="9">
        <v>1</v>
      </c>
      <c r="D236" s="9">
        <v>10</v>
      </c>
      <c r="E236" s="8" t="s">
        <v>392</v>
      </c>
      <c r="F236" s="11" t="s">
        <v>393</v>
      </c>
      <c r="G236" s="11" t="s">
        <v>394</v>
      </c>
      <c r="H236" s="217" t="s">
        <v>34</v>
      </c>
      <c r="I236" s="9" t="s">
        <v>123</v>
      </c>
      <c r="J236" s="47"/>
      <c r="K236" s="181" t="s">
        <v>855</v>
      </c>
      <c r="L236" s="47"/>
      <c r="M236" s="15">
        <v>45479</v>
      </c>
      <c r="N236" s="286" t="s">
        <v>55</v>
      </c>
      <c r="O236" s="6"/>
      <c r="P236" s="15">
        <v>45479</v>
      </c>
      <c r="Q236" s="286">
        <v>0.72916666666666663</v>
      </c>
      <c r="R236" s="129"/>
      <c r="S236" s="129"/>
      <c r="T236" s="129"/>
      <c r="U236" s="129"/>
      <c r="V236" s="129"/>
      <c r="W236" s="129"/>
      <c r="X236" s="129"/>
      <c r="Y236" s="129"/>
    </row>
    <row r="237" spans="1:34" ht="27" customHeight="1">
      <c r="B237" s="8" t="s">
        <v>162</v>
      </c>
      <c r="C237" s="9">
        <v>2</v>
      </c>
      <c r="D237" s="9">
        <v>10</v>
      </c>
      <c r="E237" s="8" t="s">
        <v>392</v>
      </c>
      <c r="F237" s="11" t="s">
        <v>378</v>
      </c>
      <c r="G237" s="11" t="s">
        <v>394</v>
      </c>
      <c r="H237" s="9" t="s">
        <v>27</v>
      </c>
      <c r="I237" s="9" t="s">
        <v>123</v>
      </c>
      <c r="J237" s="47"/>
      <c r="K237" s="181" t="s">
        <v>855</v>
      </c>
      <c r="L237" s="47"/>
      <c r="M237" s="15">
        <v>45479</v>
      </c>
      <c r="N237" s="286" t="s">
        <v>55</v>
      </c>
      <c r="O237" s="6"/>
      <c r="P237" s="15">
        <v>45479</v>
      </c>
      <c r="Q237" s="286">
        <v>0.72916666666666663</v>
      </c>
      <c r="R237" s="129"/>
      <c r="S237" s="129"/>
      <c r="T237" s="129"/>
      <c r="U237" s="129"/>
      <c r="V237" s="129"/>
      <c r="W237" s="129"/>
      <c r="X237" s="129"/>
      <c r="Y237" s="129"/>
    </row>
    <row r="238" spans="1:34" ht="27" customHeight="1">
      <c r="B238" s="57" t="s">
        <v>162</v>
      </c>
      <c r="C238" s="23">
        <v>3</v>
      </c>
      <c r="D238" s="23">
        <v>10</v>
      </c>
      <c r="E238" s="57" t="s">
        <v>392</v>
      </c>
      <c r="F238" s="317" t="s">
        <v>378</v>
      </c>
      <c r="G238" s="317" t="s">
        <v>394</v>
      </c>
      <c r="H238" s="23" t="s">
        <v>35</v>
      </c>
      <c r="I238" s="23" t="s">
        <v>123</v>
      </c>
      <c r="J238" s="47"/>
      <c r="K238" s="181" t="s">
        <v>855</v>
      </c>
      <c r="L238" s="47"/>
      <c r="M238" s="301">
        <v>45479</v>
      </c>
      <c r="N238" s="383" t="s">
        <v>55</v>
      </c>
      <c r="O238" s="384"/>
      <c r="P238" s="301">
        <v>45479</v>
      </c>
      <c r="Q238" s="383">
        <v>0.72916666666666663</v>
      </c>
      <c r="R238" s="69"/>
      <c r="S238" s="69"/>
      <c r="T238" s="69"/>
      <c r="U238" s="69"/>
      <c r="V238" s="69"/>
      <c r="W238" s="69"/>
      <c r="X238" s="69"/>
      <c r="Y238" s="69"/>
    </row>
    <row r="239" spans="1:34" ht="27" customHeight="1">
      <c r="B239" s="44" t="s">
        <v>162</v>
      </c>
      <c r="C239" s="59">
        <v>4</v>
      </c>
      <c r="D239" s="59">
        <v>10</v>
      </c>
      <c r="E239" s="44" t="s">
        <v>392</v>
      </c>
      <c r="F239" s="42" t="s">
        <v>395</v>
      </c>
      <c r="G239" s="42" t="s">
        <v>394</v>
      </c>
      <c r="H239" s="59" t="s">
        <v>49</v>
      </c>
      <c r="I239" s="59" t="s">
        <v>123</v>
      </c>
      <c r="J239" s="49"/>
      <c r="K239" s="59" t="s">
        <v>855</v>
      </c>
      <c r="L239" s="49"/>
      <c r="M239" s="291">
        <v>45479</v>
      </c>
      <c r="N239" s="289" t="s">
        <v>55</v>
      </c>
      <c r="O239" s="50"/>
      <c r="P239" s="291">
        <v>45479</v>
      </c>
      <c r="Q239" s="289">
        <v>0.72916666666666663</v>
      </c>
      <c r="R239" s="69"/>
      <c r="S239" s="69"/>
      <c r="T239" s="69"/>
      <c r="U239" s="69"/>
      <c r="V239" s="69"/>
      <c r="W239" s="69"/>
      <c r="X239" s="69"/>
      <c r="Y239" s="69"/>
    </row>
    <row r="240" spans="1:34" ht="27" customHeight="1">
      <c r="B240" s="359" t="s">
        <v>396</v>
      </c>
      <c r="C240" s="358">
        <v>1</v>
      </c>
      <c r="D240" s="358">
        <v>10</v>
      </c>
      <c r="E240" s="359" t="s">
        <v>397</v>
      </c>
      <c r="F240" s="335" t="s">
        <v>393</v>
      </c>
      <c r="G240" s="335" t="s">
        <v>398</v>
      </c>
      <c r="H240" s="375" t="s">
        <v>48</v>
      </c>
      <c r="I240" s="358" t="s">
        <v>123</v>
      </c>
      <c r="J240" s="49"/>
      <c r="K240" s="358" t="s">
        <v>855</v>
      </c>
      <c r="L240" s="50"/>
      <c r="M240" s="371">
        <v>45479</v>
      </c>
      <c r="N240" s="349" t="s">
        <v>55</v>
      </c>
      <c r="O240" s="50"/>
      <c r="P240" s="371">
        <v>45479</v>
      </c>
      <c r="Q240" s="349">
        <v>0.72916666666666663</v>
      </c>
      <c r="R240" s="87"/>
      <c r="S240" s="87"/>
      <c r="T240" s="87"/>
      <c r="U240" s="87"/>
      <c r="V240" s="87"/>
      <c r="W240" s="87"/>
      <c r="X240" s="87"/>
      <c r="Y240" s="87"/>
    </row>
    <row r="241" spans="2:25" ht="27" customHeight="1">
      <c r="B241" s="359" t="s">
        <v>396</v>
      </c>
      <c r="C241" s="358">
        <v>2</v>
      </c>
      <c r="D241" s="358">
        <v>10</v>
      </c>
      <c r="E241" s="359" t="s">
        <v>397</v>
      </c>
      <c r="F241" s="335" t="s">
        <v>399</v>
      </c>
      <c r="G241" s="335" t="s">
        <v>162</v>
      </c>
      <c r="H241" s="375" t="s">
        <v>36</v>
      </c>
      <c r="I241" s="358" t="s">
        <v>400</v>
      </c>
      <c r="J241" s="49"/>
      <c r="K241" s="358" t="s">
        <v>855</v>
      </c>
      <c r="L241" s="50"/>
      <c r="M241" s="371">
        <v>45479</v>
      </c>
      <c r="N241" s="349" t="s">
        <v>55</v>
      </c>
      <c r="O241" s="50"/>
      <c r="P241" s="371">
        <v>45479</v>
      </c>
      <c r="Q241" s="349">
        <v>0.72916666666666663</v>
      </c>
      <c r="R241" s="87"/>
      <c r="S241" s="87"/>
      <c r="T241" s="87"/>
      <c r="U241" s="87"/>
      <c r="V241" s="87"/>
      <c r="W241" s="87"/>
      <c r="X241" s="87"/>
      <c r="Y241" s="87"/>
    </row>
    <row r="242" spans="2:25" ht="27" customHeight="1">
      <c r="B242" s="359" t="s">
        <v>396</v>
      </c>
      <c r="C242" s="358">
        <v>3</v>
      </c>
      <c r="D242" s="358">
        <v>10</v>
      </c>
      <c r="E242" s="359" t="s">
        <v>397</v>
      </c>
      <c r="F242" s="335" t="s">
        <v>401</v>
      </c>
      <c r="G242" s="335" t="s">
        <v>162</v>
      </c>
      <c r="H242" s="375" t="s">
        <v>31</v>
      </c>
      <c r="I242" s="358" t="s">
        <v>400</v>
      </c>
      <c r="J242" s="49"/>
      <c r="K242" s="358" t="s">
        <v>855</v>
      </c>
      <c r="L242" s="50"/>
      <c r="M242" s="371">
        <v>45479</v>
      </c>
      <c r="N242" s="349" t="s">
        <v>55</v>
      </c>
      <c r="O242" s="50"/>
      <c r="P242" s="371">
        <v>45479</v>
      </c>
      <c r="Q242" s="349">
        <v>0.72916666666666663</v>
      </c>
      <c r="R242" s="87"/>
      <c r="S242" s="87"/>
      <c r="T242" s="87"/>
      <c r="U242" s="87"/>
      <c r="V242" s="87"/>
      <c r="W242" s="87"/>
      <c r="X242" s="87"/>
      <c r="Y242" s="87"/>
    </row>
    <row r="243" spans="2:25" ht="27" customHeight="1">
      <c r="B243" s="359" t="s">
        <v>396</v>
      </c>
      <c r="C243" s="358">
        <v>4</v>
      </c>
      <c r="D243" s="358">
        <v>10</v>
      </c>
      <c r="E243" s="359" t="s">
        <v>397</v>
      </c>
      <c r="F243" s="335" t="s">
        <v>402</v>
      </c>
      <c r="G243" s="335" t="s">
        <v>162</v>
      </c>
      <c r="H243" s="375" t="s">
        <v>35</v>
      </c>
      <c r="I243" s="358" t="s">
        <v>400</v>
      </c>
      <c r="J243" s="49"/>
      <c r="K243" s="358" t="s">
        <v>855</v>
      </c>
      <c r="L243" s="50"/>
      <c r="M243" s="371">
        <v>45479</v>
      </c>
      <c r="N243" s="349" t="s">
        <v>55</v>
      </c>
      <c r="O243" s="50"/>
      <c r="P243" s="371">
        <v>45479</v>
      </c>
      <c r="Q243" s="349">
        <v>0.72916666666666663</v>
      </c>
      <c r="R243" s="87"/>
      <c r="S243" s="87"/>
      <c r="T243" s="87"/>
      <c r="U243" s="87"/>
      <c r="V243" s="87"/>
      <c r="W243" s="87"/>
      <c r="X243" s="87"/>
      <c r="Y243" s="87"/>
    </row>
    <row r="244" spans="2:25" ht="27" customHeight="1">
      <c r="B244" s="334" t="s">
        <v>396</v>
      </c>
      <c r="C244" s="324">
        <v>5</v>
      </c>
      <c r="D244" s="324">
        <v>10</v>
      </c>
      <c r="E244" s="334" t="s">
        <v>403</v>
      </c>
      <c r="F244" s="376" t="s">
        <v>404</v>
      </c>
      <c r="G244" s="376" t="s">
        <v>162</v>
      </c>
      <c r="H244" s="377" t="s">
        <v>34</v>
      </c>
      <c r="I244" s="324" t="s">
        <v>400</v>
      </c>
      <c r="J244" s="156"/>
      <c r="K244" s="378" t="s">
        <v>855</v>
      </c>
      <c r="L244" s="318"/>
      <c r="M244" s="331">
        <v>45479</v>
      </c>
      <c r="N244" s="332" t="s">
        <v>55</v>
      </c>
      <c r="O244" s="318"/>
      <c r="P244" s="331">
        <v>45479</v>
      </c>
      <c r="Q244" s="332">
        <v>0.72916666666666663</v>
      </c>
      <c r="R244" s="87"/>
      <c r="S244" s="87"/>
      <c r="T244" s="87"/>
      <c r="U244" s="87"/>
      <c r="V244" s="87"/>
      <c r="W244" s="87"/>
      <c r="X244" s="87"/>
      <c r="Y244" s="87"/>
    </row>
    <row r="245" spans="2:25" ht="27" customHeight="1">
      <c r="B245" s="57" t="s">
        <v>405</v>
      </c>
      <c r="C245" s="23">
        <v>1</v>
      </c>
      <c r="D245" s="9">
        <v>10</v>
      </c>
      <c r="E245" s="55" t="s">
        <v>406</v>
      </c>
      <c r="F245" s="42" t="s">
        <v>407</v>
      </c>
      <c r="G245" s="11" t="s">
        <v>408</v>
      </c>
      <c r="H245" s="219" t="s">
        <v>38</v>
      </c>
      <c r="I245" s="9" t="s">
        <v>281</v>
      </c>
      <c r="J245" s="47"/>
      <c r="K245" s="59" t="s">
        <v>852</v>
      </c>
      <c r="L245" s="47"/>
      <c r="M245" s="166">
        <v>45474</v>
      </c>
      <c r="N245" s="59" t="s">
        <v>29</v>
      </c>
      <c r="O245" s="6"/>
      <c r="P245" s="166">
        <v>45474</v>
      </c>
      <c r="Q245" s="289">
        <v>0.72916666666666663</v>
      </c>
      <c r="R245" s="87"/>
      <c r="S245" s="87"/>
      <c r="T245" s="87"/>
      <c r="U245" s="87"/>
      <c r="V245" s="87"/>
      <c r="W245" s="87"/>
      <c r="X245" s="87"/>
      <c r="Y245" s="87"/>
    </row>
    <row r="246" spans="2:25" ht="27" customHeight="1">
      <c r="B246" s="57" t="s">
        <v>405</v>
      </c>
      <c r="C246" s="23">
        <v>2</v>
      </c>
      <c r="D246" s="9">
        <v>10</v>
      </c>
      <c r="E246" s="55" t="s">
        <v>406</v>
      </c>
      <c r="F246" s="42" t="s">
        <v>407</v>
      </c>
      <c r="G246" s="11" t="s">
        <v>408</v>
      </c>
      <c r="H246" s="219" t="s">
        <v>36</v>
      </c>
      <c r="I246" s="9" t="s">
        <v>281</v>
      </c>
      <c r="J246" s="47"/>
      <c r="K246" s="59" t="s">
        <v>852</v>
      </c>
      <c r="L246" s="47"/>
      <c r="M246" s="166">
        <v>45474</v>
      </c>
      <c r="N246" s="59" t="s">
        <v>29</v>
      </c>
      <c r="O246" s="6"/>
      <c r="P246" s="166">
        <v>45474</v>
      </c>
      <c r="Q246" s="289">
        <v>0.72916666666666663</v>
      </c>
      <c r="R246" s="87"/>
      <c r="S246" s="87"/>
      <c r="T246" s="87"/>
      <c r="U246" s="87"/>
      <c r="V246" s="87"/>
      <c r="W246" s="87"/>
      <c r="X246" s="87"/>
      <c r="Y246" s="87"/>
    </row>
    <row r="247" spans="2:25" ht="27" customHeight="1">
      <c r="B247" s="57" t="s">
        <v>405</v>
      </c>
      <c r="C247" s="23">
        <v>3</v>
      </c>
      <c r="D247" s="9">
        <v>10</v>
      </c>
      <c r="E247" s="55" t="s">
        <v>406</v>
      </c>
      <c r="F247" s="42" t="s">
        <v>409</v>
      </c>
      <c r="G247" s="11" t="s">
        <v>408</v>
      </c>
      <c r="H247" s="9" t="s">
        <v>49</v>
      </c>
      <c r="I247" s="9" t="s">
        <v>281</v>
      </c>
      <c r="J247" s="47"/>
      <c r="K247" s="59" t="s">
        <v>852</v>
      </c>
      <c r="L247" s="47"/>
      <c r="M247" s="166">
        <v>45474</v>
      </c>
      <c r="N247" s="59" t="s">
        <v>29</v>
      </c>
      <c r="O247" s="6"/>
      <c r="P247" s="166">
        <v>45474</v>
      </c>
      <c r="Q247" s="289">
        <v>0.72916666666666663</v>
      </c>
      <c r="R247" s="87"/>
      <c r="S247" s="87"/>
      <c r="T247" s="87"/>
      <c r="U247" s="87"/>
      <c r="V247" s="87"/>
      <c r="W247" s="87"/>
      <c r="X247" s="87"/>
      <c r="Y247" s="87"/>
    </row>
    <row r="248" spans="2:25" ht="27" customHeight="1">
      <c r="B248" s="57" t="s">
        <v>405</v>
      </c>
      <c r="C248" s="23">
        <v>4</v>
      </c>
      <c r="D248" s="9">
        <v>10</v>
      </c>
      <c r="E248" s="55" t="s">
        <v>406</v>
      </c>
      <c r="F248" s="42" t="s">
        <v>410</v>
      </c>
      <c r="G248" s="11" t="s">
        <v>408</v>
      </c>
      <c r="H248" s="9" t="s">
        <v>27</v>
      </c>
      <c r="I248" s="9" t="s">
        <v>281</v>
      </c>
      <c r="J248" s="47"/>
      <c r="K248" s="59" t="s">
        <v>852</v>
      </c>
      <c r="L248" s="47"/>
      <c r="M248" s="166">
        <v>45474</v>
      </c>
      <c r="N248" s="59" t="s">
        <v>29</v>
      </c>
      <c r="O248" s="6"/>
      <c r="P248" s="166">
        <v>45474</v>
      </c>
      <c r="Q248" s="289">
        <v>0.72916666666666663</v>
      </c>
      <c r="R248" s="87"/>
      <c r="S248" s="87"/>
      <c r="T248" s="87"/>
      <c r="U248" s="87"/>
      <c r="V248" s="87"/>
      <c r="W248" s="87"/>
      <c r="X248" s="87"/>
      <c r="Y248" s="87"/>
    </row>
    <row r="249" spans="2:25" ht="27" customHeight="1">
      <c r="B249" s="320" t="s">
        <v>411</v>
      </c>
      <c r="C249" s="319">
        <v>1</v>
      </c>
      <c r="D249" s="319">
        <v>10</v>
      </c>
      <c r="E249" s="320" t="s">
        <v>412</v>
      </c>
      <c r="F249" s="321" t="s">
        <v>383</v>
      </c>
      <c r="G249" s="321" t="s">
        <v>413</v>
      </c>
      <c r="H249" s="322" t="s">
        <v>34</v>
      </c>
      <c r="I249" s="319" t="s">
        <v>281</v>
      </c>
      <c r="J249" s="5"/>
      <c r="K249" s="325" t="s">
        <v>852</v>
      </c>
      <c r="L249" s="13"/>
      <c r="M249" s="326">
        <v>45474</v>
      </c>
      <c r="N249" s="327" t="s">
        <v>29</v>
      </c>
      <c r="O249" s="13"/>
      <c r="P249" s="326">
        <v>45474</v>
      </c>
      <c r="Q249" s="327">
        <v>0.72916666666666663</v>
      </c>
      <c r="R249" s="87"/>
      <c r="S249" s="87"/>
      <c r="T249" s="87"/>
      <c r="U249" s="87"/>
      <c r="V249" s="87"/>
      <c r="W249" s="87"/>
      <c r="X249" s="87"/>
      <c r="Y249" s="87"/>
    </row>
    <row r="250" spans="2:25" ht="27" customHeight="1">
      <c r="B250" s="320" t="s">
        <v>411</v>
      </c>
      <c r="C250" s="319">
        <v>2</v>
      </c>
      <c r="D250" s="319">
        <v>10</v>
      </c>
      <c r="E250" s="320" t="s">
        <v>412</v>
      </c>
      <c r="F250" s="321" t="s">
        <v>383</v>
      </c>
      <c r="G250" s="321" t="s">
        <v>413</v>
      </c>
      <c r="H250" s="322" t="s">
        <v>47</v>
      </c>
      <c r="I250" s="319" t="s">
        <v>281</v>
      </c>
      <c r="J250" s="5"/>
      <c r="K250" s="325" t="s">
        <v>852</v>
      </c>
      <c r="L250" s="13"/>
      <c r="M250" s="326">
        <v>45474</v>
      </c>
      <c r="N250" s="327" t="s">
        <v>29</v>
      </c>
      <c r="O250" s="13"/>
      <c r="P250" s="326">
        <v>45474</v>
      </c>
      <c r="Q250" s="327">
        <v>0.72916666666666663</v>
      </c>
      <c r="R250" s="87"/>
      <c r="S250" s="87"/>
      <c r="T250" s="87"/>
      <c r="U250" s="87"/>
      <c r="V250" s="87"/>
      <c r="W250" s="87"/>
      <c r="X250" s="87"/>
      <c r="Y250" s="87"/>
    </row>
    <row r="251" spans="2:25" ht="27" customHeight="1">
      <c r="B251" s="320" t="s">
        <v>411</v>
      </c>
      <c r="C251" s="319">
        <v>3</v>
      </c>
      <c r="D251" s="319">
        <v>10</v>
      </c>
      <c r="E251" s="320" t="s">
        <v>412</v>
      </c>
      <c r="F251" s="321" t="s">
        <v>414</v>
      </c>
      <c r="G251" s="321" t="s">
        <v>413</v>
      </c>
      <c r="H251" s="322" t="s">
        <v>35</v>
      </c>
      <c r="I251" s="319" t="s">
        <v>281</v>
      </c>
      <c r="J251" s="5"/>
      <c r="K251" s="325" t="s">
        <v>852</v>
      </c>
      <c r="L251" s="13"/>
      <c r="M251" s="326">
        <v>45474</v>
      </c>
      <c r="N251" s="327" t="s">
        <v>29</v>
      </c>
      <c r="O251" s="13"/>
      <c r="P251" s="326">
        <v>45474</v>
      </c>
      <c r="Q251" s="327">
        <v>0.72916666666666663</v>
      </c>
      <c r="R251" s="87"/>
      <c r="S251" s="87"/>
      <c r="T251" s="87"/>
      <c r="U251" s="87"/>
      <c r="V251" s="87"/>
      <c r="W251" s="87"/>
      <c r="X251" s="87"/>
      <c r="Y251" s="87"/>
    </row>
    <row r="252" spans="2:25" ht="27" customHeight="1">
      <c r="B252" s="320" t="s">
        <v>411</v>
      </c>
      <c r="C252" s="319">
        <v>4</v>
      </c>
      <c r="D252" s="319">
        <v>10</v>
      </c>
      <c r="E252" s="320" t="s">
        <v>412</v>
      </c>
      <c r="F252" s="321" t="s">
        <v>415</v>
      </c>
      <c r="G252" s="321" t="s">
        <v>413</v>
      </c>
      <c r="H252" s="322" t="s">
        <v>416</v>
      </c>
      <c r="I252" s="319" t="s">
        <v>281</v>
      </c>
      <c r="J252" s="5"/>
      <c r="K252" s="325" t="s">
        <v>852</v>
      </c>
      <c r="L252" s="13"/>
      <c r="M252" s="326">
        <v>45474</v>
      </c>
      <c r="N252" s="327" t="s">
        <v>29</v>
      </c>
      <c r="O252" s="13"/>
      <c r="P252" s="326">
        <v>45474</v>
      </c>
      <c r="Q252" s="327">
        <v>0.72916666666666663</v>
      </c>
      <c r="R252" s="87"/>
      <c r="S252" s="87"/>
      <c r="T252" s="87"/>
      <c r="U252" s="87"/>
      <c r="V252" s="87"/>
      <c r="W252" s="87"/>
      <c r="X252" s="87"/>
      <c r="Y252" s="87"/>
    </row>
    <row r="253" spans="2:25" ht="27" customHeight="1">
      <c r="B253" s="8" t="s">
        <v>417</v>
      </c>
      <c r="C253" s="9">
        <v>1</v>
      </c>
      <c r="D253" s="9">
        <v>10</v>
      </c>
      <c r="E253" s="55" t="s">
        <v>418</v>
      </c>
      <c r="F253" s="42" t="s">
        <v>372</v>
      </c>
      <c r="G253" s="11" t="s">
        <v>396</v>
      </c>
      <c r="H253" s="9" t="s">
        <v>34</v>
      </c>
      <c r="I253" s="9" t="s">
        <v>217</v>
      </c>
      <c r="J253" s="5"/>
      <c r="K253" s="181" t="s">
        <v>857</v>
      </c>
      <c r="L253" s="5"/>
      <c r="M253" s="290">
        <v>45483</v>
      </c>
      <c r="N253" s="59" t="s">
        <v>29</v>
      </c>
      <c r="O253" s="6"/>
      <c r="P253" s="290">
        <v>45483</v>
      </c>
      <c r="Q253" s="289">
        <v>0.72916666666666663</v>
      </c>
      <c r="R253" s="87"/>
      <c r="S253" s="87"/>
      <c r="T253" s="87"/>
      <c r="U253" s="87"/>
      <c r="V253" s="87"/>
      <c r="W253" s="87"/>
      <c r="X253" s="87"/>
      <c r="Y253" s="87"/>
    </row>
    <row r="254" spans="2:25" ht="27" customHeight="1">
      <c r="B254" s="320" t="s">
        <v>419</v>
      </c>
      <c r="C254" s="319">
        <v>1</v>
      </c>
      <c r="D254" s="319">
        <v>10</v>
      </c>
      <c r="E254" s="320" t="s">
        <v>420</v>
      </c>
      <c r="F254" s="321" t="s">
        <v>421</v>
      </c>
      <c r="G254" s="321" t="s">
        <v>422</v>
      </c>
      <c r="H254" s="322" t="s">
        <v>38</v>
      </c>
      <c r="I254" s="319" t="s">
        <v>281</v>
      </c>
      <c r="J254" s="5"/>
      <c r="K254" s="325" t="s">
        <v>852</v>
      </c>
      <c r="L254" s="13"/>
      <c r="M254" s="326">
        <v>45474</v>
      </c>
      <c r="N254" s="327" t="s">
        <v>29</v>
      </c>
      <c r="O254" s="13"/>
      <c r="P254" s="326">
        <v>45474</v>
      </c>
      <c r="Q254" s="327">
        <v>0.72916666666666663</v>
      </c>
      <c r="R254" s="87"/>
      <c r="S254" s="87"/>
      <c r="T254" s="87"/>
      <c r="U254" s="87"/>
      <c r="V254" s="87"/>
      <c r="W254" s="87"/>
      <c r="X254" s="87"/>
      <c r="Y254" s="87"/>
    </row>
    <row r="255" spans="2:25" ht="24" customHeight="1">
      <c r="B255" s="427" t="s">
        <v>423</v>
      </c>
      <c r="C255" s="411">
        <v>1</v>
      </c>
      <c r="D255" s="411">
        <v>10</v>
      </c>
      <c r="E255" s="428" t="s">
        <v>424</v>
      </c>
      <c r="F255" s="430" t="s">
        <v>425</v>
      </c>
      <c r="G255" s="171" t="s">
        <v>426</v>
      </c>
      <c r="H255" s="438" t="s">
        <v>34</v>
      </c>
      <c r="I255" s="411" t="s">
        <v>427</v>
      </c>
      <c r="J255" s="413"/>
      <c r="K255" s="411" t="s">
        <v>858</v>
      </c>
      <c r="L255" s="413"/>
      <c r="M255" s="416">
        <v>45481</v>
      </c>
      <c r="N255" s="435" t="s">
        <v>55</v>
      </c>
      <c r="O255" s="413"/>
      <c r="P255" s="416">
        <v>45481</v>
      </c>
      <c r="Q255" s="418">
        <v>0.72916666666666663</v>
      </c>
      <c r="R255" s="69"/>
      <c r="S255" s="69"/>
      <c r="T255" s="69"/>
      <c r="U255" s="69"/>
      <c r="V255" s="69"/>
      <c r="W255" s="69"/>
      <c r="X255" s="69"/>
      <c r="Y255" s="69"/>
    </row>
    <row r="256" spans="2:25" ht="24" customHeight="1">
      <c r="B256" s="436"/>
      <c r="C256" s="412"/>
      <c r="D256" s="412"/>
      <c r="E256" s="437"/>
      <c r="F256" s="430"/>
      <c r="G256" s="172" t="s">
        <v>428</v>
      </c>
      <c r="H256" s="439"/>
      <c r="I256" s="412"/>
      <c r="J256" s="415"/>
      <c r="K256" s="412"/>
      <c r="L256" s="415"/>
      <c r="M256" s="417"/>
      <c r="N256" s="419"/>
      <c r="O256" s="415"/>
      <c r="P256" s="417"/>
      <c r="Q256" s="419"/>
      <c r="R256" s="69"/>
      <c r="S256" s="69"/>
      <c r="T256" s="69"/>
      <c r="U256" s="69"/>
      <c r="V256" s="69"/>
      <c r="W256" s="69"/>
      <c r="X256" s="69"/>
      <c r="Y256" s="69"/>
    </row>
    <row r="257" spans="2:29" ht="24" customHeight="1">
      <c r="B257" s="427" t="s">
        <v>423</v>
      </c>
      <c r="C257" s="411">
        <v>2</v>
      </c>
      <c r="D257" s="411">
        <v>10</v>
      </c>
      <c r="E257" s="428" t="s">
        <v>424</v>
      </c>
      <c r="F257" s="430" t="s">
        <v>425</v>
      </c>
      <c r="G257" s="171" t="s">
        <v>426</v>
      </c>
      <c r="H257" s="438" t="s">
        <v>47</v>
      </c>
      <c r="I257" s="411" t="s">
        <v>427</v>
      </c>
      <c r="J257" s="413"/>
      <c r="K257" s="411" t="s">
        <v>858</v>
      </c>
      <c r="L257" s="413"/>
      <c r="M257" s="416">
        <v>45481</v>
      </c>
      <c r="N257" s="435" t="s">
        <v>55</v>
      </c>
      <c r="O257" s="413"/>
      <c r="P257" s="416">
        <v>45481</v>
      </c>
      <c r="Q257" s="418">
        <v>0.72916666666666663</v>
      </c>
      <c r="R257" s="69"/>
      <c r="S257" s="69"/>
      <c r="T257" s="69"/>
      <c r="U257" s="69"/>
      <c r="V257" s="69"/>
      <c r="W257" s="69"/>
      <c r="X257" s="69"/>
      <c r="Y257" s="69"/>
    </row>
    <row r="258" spans="2:29" ht="24" customHeight="1">
      <c r="B258" s="414"/>
      <c r="C258" s="414"/>
      <c r="D258" s="414"/>
      <c r="E258" s="429"/>
      <c r="F258" s="430"/>
      <c r="G258" s="172" t="s">
        <v>428</v>
      </c>
      <c r="H258" s="439"/>
      <c r="I258" s="412"/>
      <c r="J258" s="414"/>
      <c r="K258" s="412"/>
      <c r="L258" s="414"/>
      <c r="M258" s="417"/>
      <c r="N258" s="419"/>
      <c r="O258" s="415"/>
      <c r="P258" s="417"/>
      <c r="Q258" s="419"/>
      <c r="R258" s="69"/>
      <c r="S258" s="69"/>
      <c r="T258" s="69"/>
      <c r="U258" s="69"/>
      <c r="V258" s="69"/>
      <c r="W258" s="69"/>
      <c r="X258" s="69"/>
      <c r="Y258" s="69"/>
    </row>
    <row r="259" spans="2:29" ht="24" customHeight="1">
      <c r="B259" s="427" t="s">
        <v>423</v>
      </c>
      <c r="C259" s="411">
        <v>3</v>
      </c>
      <c r="D259" s="411">
        <v>10</v>
      </c>
      <c r="E259" s="428" t="s">
        <v>424</v>
      </c>
      <c r="F259" s="430" t="s">
        <v>429</v>
      </c>
      <c r="G259" s="171" t="s">
        <v>426</v>
      </c>
      <c r="H259" s="409" t="s">
        <v>31</v>
      </c>
      <c r="I259" s="411" t="s">
        <v>427</v>
      </c>
      <c r="J259" s="413"/>
      <c r="K259" s="411" t="s">
        <v>858</v>
      </c>
      <c r="L259" s="413"/>
      <c r="M259" s="416">
        <v>45481</v>
      </c>
      <c r="N259" s="435" t="s">
        <v>55</v>
      </c>
      <c r="O259" s="413"/>
      <c r="P259" s="416">
        <v>45481</v>
      </c>
      <c r="Q259" s="418">
        <v>0.72916666666666663</v>
      </c>
      <c r="R259" s="69"/>
      <c r="S259" s="69"/>
      <c r="T259" s="69"/>
      <c r="U259" s="69"/>
      <c r="V259" s="69"/>
      <c r="W259" s="69"/>
      <c r="X259" s="69"/>
      <c r="Y259" s="69"/>
    </row>
    <row r="260" spans="2:29" ht="24" customHeight="1">
      <c r="B260" s="414"/>
      <c r="C260" s="414"/>
      <c r="D260" s="414"/>
      <c r="E260" s="429"/>
      <c r="F260" s="430"/>
      <c r="G260" s="172" t="s">
        <v>428</v>
      </c>
      <c r="H260" s="410"/>
      <c r="I260" s="412"/>
      <c r="J260" s="414"/>
      <c r="K260" s="412"/>
      <c r="L260" s="414"/>
      <c r="M260" s="417"/>
      <c r="N260" s="419"/>
      <c r="O260" s="415"/>
      <c r="P260" s="417"/>
      <c r="Q260" s="419"/>
      <c r="R260" s="69"/>
      <c r="S260" s="69"/>
      <c r="T260" s="69"/>
      <c r="U260" s="69"/>
      <c r="V260" s="69"/>
      <c r="W260" s="69"/>
      <c r="X260" s="69"/>
      <c r="Y260" s="69"/>
    </row>
    <row r="261" spans="2:29" ht="24" customHeight="1">
      <c r="B261" s="427" t="s">
        <v>423</v>
      </c>
      <c r="C261" s="411">
        <v>4</v>
      </c>
      <c r="D261" s="411">
        <v>10</v>
      </c>
      <c r="E261" s="428" t="s">
        <v>424</v>
      </c>
      <c r="F261" s="430" t="s">
        <v>430</v>
      </c>
      <c r="G261" s="171" t="s">
        <v>426</v>
      </c>
      <c r="H261" s="409" t="s">
        <v>48</v>
      </c>
      <c r="I261" s="411" t="s">
        <v>427</v>
      </c>
      <c r="J261" s="413"/>
      <c r="K261" s="411" t="s">
        <v>858</v>
      </c>
      <c r="L261" s="413"/>
      <c r="M261" s="416">
        <v>45481</v>
      </c>
      <c r="N261" s="435" t="s">
        <v>55</v>
      </c>
      <c r="O261" s="413"/>
      <c r="P261" s="416">
        <v>45481</v>
      </c>
      <c r="Q261" s="418">
        <v>0.72916666666666663</v>
      </c>
      <c r="R261" s="69"/>
      <c r="S261" s="69"/>
      <c r="T261" s="69"/>
      <c r="U261" s="69"/>
      <c r="V261" s="69"/>
      <c r="W261" s="69"/>
      <c r="X261" s="69"/>
      <c r="Y261" s="69"/>
    </row>
    <row r="262" spans="2:29" ht="24" customHeight="1">
      <c r="B262" s="414"/>
      <c r="C262" s="414"/>
      <c r="D262" s="414"/>
      <c r="E262" s="429"/>
      <c r="F262" s="430"/>
      <c r="G262" s="172" t="s">
        <v>428</v>
      </c>
      <c r="H262" s="410"/>
      <c r="I262" s="412"/>
      <c r="J262" s="414"/>
      <c r="K262" s="412"/>
      <c r="L262" s="414"/>
      <c r="M262" s="417"/>
      <c r="N262" s="419"/>
      <c r="O262" s="415"/>
      <c r="P262" s="417"/>
      <c r="Q262" s="419"/>
      <c r="R262" s="69"/>
      <c r="S262" s="69"/>
      <c r="T262" s="69"/>
      <c r="U262" s="69"/>
      <c r="V262" s="69"/>
      <c r="W262" s="69"/>
      <c r="X262" s="69"/>
      <c r="Y262" s="69"/>
    </row>
    <row r="263" spans="2:29" ht="21" customHeight="1">
      <c r="B263" s="260" t="s">
        <v>431</v>
      </c>
      <c r="C263" s="268"/>
      <c r="D263" s="268"/>
      <c r="E263" s="260"/>
      <c r="F263" s="259"/>
      <c r="G263" s="259"/>
      <c r="H263" s="268"/>
      <c r="I263" s="268"/>
      <c r="J263" s="268"/>
      <c r="K263" s="268"/>
      <c r="L263" s="268"/>
      <c r="M263" s="268"/>
      <c r="N263" s="268"/>
      <c r="O263" s="52"/>
      <c r="P263" s="52"/>
      <c r="Q263" s="52"/>
      <c r="R263" s="87"/>
      <c r="S263" s="87"/>
      <c r="T263" s="87"/>
      <c r="U263" s="87"/>
      <c r="V263" s="87"/>
      <c r="W263" s="87"/>
      <c r="X263" s="87"/>
      <c r="Y263" s="87"/>
    </row>
    <row r="264" spans="2:29" ht="27" customHeight="1">
      <c r="B264" s="260"/>
      <c r="C264" s="268"/>
      <c r="D264" s="268"/>
      <c r="E264" s="260"/>
      <c r="F264" s="259"/>
      <c r="G264" s="259"/>
      <c r="H264" s="268"/>
      <c r="I264" s="268"/>
      <c r="J264" s="268"/>
      <c r="K264" s="268"/>
      <c r="L264" s="268"/>
      <c r="M264" s="268"/>
      <c r="N264" s="268"/>
      <c r="O264" s="52"/>
      <c r="P264" s="52"/>
      <c r="Q264" s="52"/>
      <c r="R264" s="87"/>
      <c r="S264" s="87"/>
      <c r="T264" s="87"/>
      <c r="U264" s="87"/>
      <c r="V264" s="87"/>
      <c r="W264" s="87"/>
      <c r="X264" s="87"/>
      <c r="Y264" s="87"/>
    </row>
    <row r="265" spans="2:29" ht="27" customHeight="1">
      <c r="B265" s="266" t="s">
        <v>815</v>
      </c>
      <c r="C265" s="262"/>
      <c r="D265" s="262"/>
      <c r="E265" s="263"/>
      <c r="F265" s="259"/>
      <c r="G265" s="259"/>
      <c r="H265" s="268"/>
      <c r="I265" s="262"/>
      <c r="J265" s="268"/>
      <c r="K265" s="268"/>
      <c r="L265" s="268"/>
      <c r="M265" s="268"/>
      <c r="N265" s="268"/>
      <c r="O265" s="52"/>
      <c r="P265" s="52"/>
      <c r="Q265" s="52"/>
      <c r="R265" s="87"/>
      <c r="S265" s="87"/>
      <c r="T265" s="87"/>
      <c r="U265" s="87"/>
      <c r="V265" s="87"/>
      <c r="W265" s="87"/>
      <c r="X265" s="87"/>
      <c r="Y265" s="87"/>
    </row>
    <row r="266" spans="2:29" ht="19.5" customHeight="1">
      <c r="B266" s="260" t="s">
        <v>432</v>
      </c>
      <c r="C266" s="262"/>
      <c r="D266" s="262"/>
      <c r="E266" s="263"/>
      <c r="F266" s="259"/>
      <c r="G266" s="259"/>
      <c r="H266" s="268"/>
      <c r="I266" s="262"/>
      <c r="J266" s="268"/>
      <c r="K266" s="268"/>
      <c r="L266" s="268"/>
      <c r="M266" s="268"/>
      <c r="N266" s="268"/>
      <c r="O266" s="52"/>
      <c r="P266" s="52"/>
      <c r="Q266" s="52"/>
      <c r="R266" s="87"/>
      <c r="S266" s="87"/>
      <c r="T266" s="87"/>
      <c r="U266" s="87"/>
      <c r="V266" s="87"/>
      <c r="W266" s="87"/>
      <c r="X266" s="87"/>
      <c r="Y266" s="87"/>
    </row>
    <row r="267" spans="2:29" ht="19.5" customHeight="1">
      <c r="B267" s="260" t="s">
        <v>159</v>
      </c>
      <c r="C267" s="263"/>
      <c r="D267" s="262"/>
      <c r="E267" s="284"/>
      <c r="F267" s="263"/>
      <c r="G267" s="263"/>
      <c r="H267" s="268"/>
      <c r="I267" s="262"/>
      <c r="J267" s="268"/>
      <c r="K267" s="268"/>
      <c r="L267" s="268"/>
      <c r="M267" s="268"/>
      <c r="N267" s="268"/>
      <c r="O267" s="52"/>
      <c r="P267" s="52"/>
      <c r="Q267" s="52"/>
      <c r="R267" s="87"/>
      <c r="S267" s="87"/>
      <c r="T267" s="87"/>
      <c r="U267" s="87"/>
      <c r="V267" s="87"/>
      <c r="W267" s="87"/>
      <c r="X267" s="87"/>
      <c r="Y267" s="87"/>
    </row>
    <row r="268" spans="2:29" ht="27.75" customHeight="1">
      <c r="B268" s="264"/>
      <c r="C268" s="263"/>
      <c r="D268" s="262"/>
      <c r="E268" s="263"/>
      <c r="F268" s="263"/>
      <c r="G268" s="263"/>
      <c r="H268" s="105" t="s">
        <v>7</v>
      </c>
      <c r="I268" s="71" t="s">
        <v>8</v>
      </c>
      <c r="J268" s="268"/>
      <c r="K268" s="20" t="s">
        <v>9</v>
      </c>
      <c r="L268" s="268"/>
      <c r="M268" s="425" t="s">
        <v>10</v>
      </c>
      <c r="N268" s="426"/>
      <c r="O268" s="268"/>
      <c r="P268" s="425" t="s">
        <v>914</v>
      </c>
      <c r="Q268" s="426"/>
      <c r="R268" s="87"/>
      <c r="S268" s="87"/>
      <c r="T268" s="87"/>
      <c r="U268" s="87"/>
      <c r="V268" s="87"/>
      <c r="W268" s="87"/>
      <c r="X268" s="87"/>
      <c r="Y268" s="87"/>
    </row>
    <row r="269" spans="2:29" ht="27" customHeight="1">
      <c r="B269" s="68" t="s">
        <v>11</v>
      </c>
      <c r="C269" s="116" t="s">
        <v>12</v>
      </c>
      <c r="D269" s="116" t="s">
        <v>13</v>
      </c>
      <c r="E269" s="68" t="s">
        <v>14</v>
      </c>
      <c r="F269" s="68" t="s">
        <v>15</v>
      </c>
      <c r="G269" s="157" t="s">
        <v>16</v>
      </c>
      <c r="H269" s="4" t="s">
        <v>17</v>
      </c>
      <c r="I269" s="4" t="s">
        <v>17</v>
      </c>
      <c r="J269" s="5"/>
      <c r="K269" s="20" t="s">
        <v>18</v>
      </c>
      <c r="L269" s="64"/>
      <c r="M269" s="71" t="s">
        <v>0</v>
      </c>
      <c r="N269" s="71" t="s">
        <v>1</v>
      </c>
      <c r="O269" s="64"/>
      <c r="P269" s="71" t="s">
        <v>0</v>
      </c>
      <c r="Q269" s="71" t="s">
        <v>1</v>
      </c>
      <c r="R269" s="87"/>
      <c r="S269" s="87"/>
      <c r="T269" s="87"/>
      <c r="U269" s="87"/>
      <c r="V269" s="87"/>
      <c r="W269" s="87"/>
      <c r="X269" s="87"/>
      <c r="Y269" s="87"/>
    </row>
    <row r="270" spans="2:29" ht="28" customHeight="1">
      <c r="B270" s="359" t="s">
        <v>433</v>
      </c>
      <c r="C270" s="358">
        <v>1</v>
      </c>
      <c r="D270" s="358">
        <v>10</v>
      </c>
      <c r="E270" s="359" t="s">
        <v>842</v>
      </c>
      <c r="F270" s="359" t="s">
        <v>434</v>
      </c>
      <c r="G270" s="362" t="s">
        <v>435</v>
      </c>
      <c r="H270" s="361" t="s">
        <v>35</v>
      </c>
      <c r="I270" s="319" t="s">
        <v>436</v>
      </c>
      <c r="J270" s="5"/>
      <c r="K270" s="326" t="s">
        <v>861</v>
      </c>
      <c r="L270" s="64"/>
      <c r="M270" s="348">
        <v>45848</v>
      </c>
      <c r="N270" s="358" t="s">
        <v>55</v>
      </c>
      <c r="O270" s="64"/>
      <c r="P270" s="348" t="s">
        <v>192</v>
      </c>
      <c r="Q270" s="358" t="s">
        <v>192</v>
      </c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</row>
    <row r="271" spans="2:29" ht="28" customHeight="1">
      <c r="B271" s="44" t="s">
        <v>437</v>
      </c>
      <c r="C271" s="58">
        <v>1</v>
      </c>
      <c r="D271" s="58">
        <v>10</v>
      </c>
      <c r="E271" s="44" t="s">
        <v>438</v>
      </c>
      <c r="F271" s="44" t="s">
        <v>439</v>
      </c>
      <c r="G271" s="158" t="s">
        <v>440</v>
      </c>
      <c r="H271" s="181" t="s">
        <v>48</v>
      </c>
      <c r="I271" s="9" t="s">
        <v>441</v>
      </c>
      <c r="J271" s="5"/>
      <c r="K271" s="236" t="s">
        <v>862</v>
      </c>
      <c r="L271" s="64"/>
      <c r="M271" s="288">
        <v>45839</v>
      </c>
      <c r="N271" s="59" t="s">
        <v>55</v>
      </c>
      <c r="O271" s="64"/>
      <c r="P271" s="288" t="s">
        <v>192</v>
      </c>
      <c r="Q271" s="59" t="s">
        <v>192</v>
      </c>
      <c r="R271" s="87"/>
      <c r="S271" s="87"/>
      <c r="T271" s="87"/>
      <c r="U271" s="87"/>
      <c r="V271" s="87"/>
      <c r="W271" s="87"/>
      <c r="X271" s="87"/>
      <c r="Y271" s="87"/>
    </row>
    <row r="272" spans="2:29" ht="33.75" customHeight="1">
      <c r="B272" s="363" t="s">
        <v>442</v>
      </c>
      <c r="C272" s="364">
        <v>1</v>
      </c>
      <c r="D272" s="364">
        <v>10</v>
      </c>
      <c r="E272" s="365" t="s">
        <v>443</v>
      </c>
      <c r="F272" s="335" t="s">
        <v>444</v>
      </c>
      <c r="G272" s="362" t="s">
        <v>445</v>
      </c>
      <c r="H272" s="325" t="s">
        <v>47</v>
      </c>
      <c r="I272" s="319" t="s">
        <v>246</v>
      </c>
      <c r="J272" s="5"/>
      <c r="K272" s="319" t="s">
        <v>863</v>
      </c>
      <c r="L272" s="64"/>
      <c r="M272" s="348">
        <v>45838</v>
      </c>
      <c r="N272" s="336" t="s">
        <v>888</v>
      </c>
      <c r="O272" s="64"/>
      <c r="P272" s="348" t="s">
        <v>192</v>
      </c>
      <c r="Q272" s="358" t="s">
        <v>192</v>
      </c>
      <c r="R272" s="129"/>
      <c r="S272" s="129"/>
      <c r="T272" s="129"/>
      <c r="U272" s="129"/>
      <c r="V272" s="129"/>
      <c r="W272" s="129"/>
      <c r="X272" s="129"/>
      <c r="Y272" s="129"/>
    </row>
    <row r="273" spans="2:29" ht="28" customHeight="1">
      <c r="B273" s="43" t="s">
        <v>446</v>
      </c>
      <c r="C273" s="58">
        <v>1</v>
      </c>
      <c r="D273" s="58">
        <v>10</v>
      </c>
      <c r="E273" s="162" t="s">
        <v>447</v>
      </c>
      <c r="F273" s="44" t="s">
        <v>448</v>
      </c>
      <c r="G273" s="158" t="s">
        <v>449</v>
      </c>
      <c r="H273" s="45" t="s">
        <v>71</v>
      </c>
      <c r="I273" s="60" t="s">
        <v>450</v>
      </c>
      <c r="J273" s="5"/>
      <c r="K273" s="300" t="s">
        <v>864</v>
      </c>
      <c r="L273" s="64"/>
      <c r="M273" s="288">
        <v>45840</v>
      </c>
      <c r="N273" s="59" t="s">
        <v>55</v>
      </c>
      <c r="O273" s="64"/>
      <c r="P273" s="288" t="s">
        <v>192</v>
      </c>
      <c r="Q273" s="59" t="s">
        <v>192</v>
      </c>
      <c r="R273" s="129"/>
      <c r="S273" s="129"/>
      <c r="T273" s="129"/>
      <c r="U273" s="129"/>
      <c r="V273" s="129"/>
      <c r="W273" s="129"/>
      <c r="X273" s="129"/>
      <c r="Y273" s="129"/>
    </row>
    <row r="274" spans="2:29" ht="28" customHeight="1">
      <c r="B274" s="363" t="s">
        <v>451</v>
      </c>
      <c r="C274" s="364">
        <v>1</v>
      </c>
      <c r="D274" s="364">
        <v>10</v>
      </c>
      <c r="E274" s="366" t="s">
        <v>841</v>
      </c>
      <c r="F274" s="367" t="s">
        <v>452</v>
      </c>
      <c r="G274" s="368" t="s">
        <v>453</v>
      </c>
      <c r="H274" s="361" t="s">
        <v>34</v>
      </c>
      <c r="I274" s="360" t="s">
        <v>190</v>
      </c>
      <c r="J274" s="5"/>
      <c r="K274" s="326" t="s">
        <v>859</v>
      </c>
      <c r="L274" s="64"/>
      <c r="M274" s="371">
        <v>45846</v>
      </c>
      <c r="N274" s="358" t="s">
        <v>55</v>
      </c>
      <c r="O274" s="64"/>
      <c r="P274" s="348" t="s">
        <v>192</v>
      </c>
      <c r="Q274" s="358" t="s">
        <v>192</v>
      </c>
      <c r="R274" s="129"/>
      <c r="S274" s="129"/>
      <c r="T274" s="129"/>
      <c r="U274" s="129"/>
      <c r="V274" s="129"/>
      <c r="W274" s="129"/>
      <c r="X274" s="129"/>
      <c r="Y274" s="129"/>
    </row>
    <row r="275" spans="2:29" ht="28" customHeight="1">
      <c r="B275" s="43" t="s">
        <v>454</v>
      </c>
      <c r="C275" s="58">
        <v>1</v>
      </c>
      <c r="D275" s="58">
        <v>10</v>
      </c>
      <c r="E275" s="168" t="s">
        <v>860</v>
      </c>
      <c r="F275" s="168" t="s">
        <v>455</v>
      </c>
      <c r="G275" s="154" t="s">
        <v>456</v>
      </c>
      <c r="H275" s="45" t="s">
        <v>27</v>
      </c>
      <c r="I275" s="45" t="s">
        <v>64</v>
      </c>
      <c r="J275" s="5"/>
      <c r="K275" s="300" t="s">
        <v>918</v>
      </c>
      <c r="L275" s="64"/>
      <c r="M275" s="288">
        <v>45840</v>
      </c>
      <c r="N275" s="59" t="s">
        <v>55</v>
      </c>
      <c r="O275" s="64"/>
      <c r="P275" s="288" t="s">
        <v>192</v>
      </c>
      <c r="Q275" s="59" t="s">
        <v>192</v>
      </c>
      <c r="R275" s="129"/>
      <c r="S275" s="129"/>
      <c r="T275" s="129"/>
      <c r="U275" s="129"/>
      <c r="V275" s="129"/>
      <c r="W275" s="129"/>
      <c r="X275" s="129"/>
      <c r="Y275" s="129"/>
    </row>
    <row r="276" spans="2:29" ht="33.75" customHeight="1">
      <c r="B276" s="359" t="s">
        <v>457</v>
      </c>
      <c r="C276" s="358">
        <v>1</v>
      </c>
      <c r="D276" s="358">
        <v>10</v>
      </c>
      <c r="E276" s="369" t="s">
        <v>458</v>
      </c>
      <c r="F276" s="359" t="s">
        <v>459</v>
      </c>
      <c r="G276" s="335" t="s">
        <v>398</v>
      </c>
      <c r="H276" s="361" t="s">
        <v>49</v>
      </c>
      <c r="I276" s="360" t="s">
        <v>136</v>
      </c>
      <c r="J276" s="5"/>
      <c r="K276" s="326" t="s">
        <v>865</v>
      </c>
      <c r="L276" s="64"/>
      <c r="M276" s="371">
        <v>45841</v>
      </c>
      <c r="N276" s="358" t="s">
        <v>55</v>
      </c>
      <c r="O276" s="64"/>
      <c r="P276" s="348" t="s">
        <v>192</v>
      </c>
      <c r="Q276" s="358" t="s">
        <v>192</v>
      </c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</row>
    <row r="277" spans="2:29" ht="28" customHeight="1">
      <c r="B277" s="210" t="s">
        <v>460</v>
      </c>
      <c r="C277" s="306">
        <v>1</v>
      </c>
      <c r="D277" s="306">
        <v>10</v>
      </c>
      <c r="E277" s="210" t="s">
        <v>843</v>
      </c>
      <c r="F277" s="211" t="s">
        <v>389</v>
      </c>
      <c r="G277" s="385" t="s">
        <v>461</v>
      </c>
      <c r="H277" s="235" t="s">
        <v>31</v>
      </c>
      <c r="I277" s="23" t="s">
        <v>191</v>
      </c>
      <c r="J277" s="47"/>
      <c r="K277" s="386" t="s">
        <v>192</v>
      </c>
      <c r="L277" s="195"/>
      <c r="M277" s="387">
        <v>45845</v>
      </c>
      <c r="N277" s="178" t="s">
        <v>29</v>
      </c>
      <c r="O277" s="195"/>
      <c r="P277" s="387" t="s">
        <v>192</v>
      </c>
      <c r="Q277" s="178" t="s">
        <v>192</v>
      </c>
      <c r="R277" s="87"/>
      <c r="S277" s="87"/>
      <c r="T277" s="87"/>
      <c r="U277" s="87"/>
      <c r="V277" s="87"/>
      <c r="W277" s="87"/>
      <c r="X277" s="87"/>
      <c r="Y277" s="87"/>
    </row>
    <row r="278" spans="2:29" ht="28" customHeight="1">
      <c r="B278" s="363" t="s">
        <v>462</v>
      </c>
      <c r="C278" s="364">
        <v>1</v>
      </c>
      <c r="D278" s="364">
        <v>10</v>
      </c>
      <c r="E278" s="363" t="s">
        <v>463</v>
      </c>
      <c r="F278" s="363" t="s">
        <v>464</v>
      </c>
      <c r="G278" s="370" t="s">
        <v>465</v>
      </c>
      <c r="H278" s="358" t="s">
        <v>192</v>
      </c>
      <c r="I278" s="358" t="s">
        <v>192</v>
      </c>
      <c r="J278" s="49"/>
      <c r="K278" s="358" t="s">
        <v>192</v>
      </c>
      <c r="L278" s="49"/>
      <c r="M278" s="358" t="s">
        <v>192</v>
      </c>
      <c r="N278" s="358" t="s">
        <v>192</v>
      </c>
      <c r="O278" s="49"/>
      <c r="P278" s="358"/>
      <c r="Q278" s="358"/>
      <c r="R278" s="129"/>
      <c r="S278" s="129"/>
      <c r="T278" s="129"/>
      <c r="U278" s="129"/>
      <c r="V278" s="129"/>
      <c r="W278" s="129"/>
      <c r="X278" s="129"/>
      <c r="Y278" s="129"/>
    </row>
    <row r="279" spans="2:29" ht="15" customHeight="1">
      <c r="B279" s="258" t="s">
        <v>233</v>
      </c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165"/>
      <c r="P279" s="165"/>
      <c r="Q279" s="165"/>
    </row>
    <row r="280" spans="2:29" ht="15" customHeight="1">
      <c r="B280" s="260"/>
      <c r="C280" s="268"/>
      <c r="D280" s="268"/>
      <c r="E280" s="283"/>
      <c r="F280" s="259"/>
      <c r="G280" s="259"/>
      <c r="H280" s="268"/>
      <c r="I280" s="262"/>
      <c r="J280" s="268"/>
      <c r="K280" s="268"/>
      <c r="L280" s="268"/>
      <c r="M280" s="268"/>
      <c r="N280" s="268"/>
      <c r="O280" s="52"/>
      <c r="P280" s="52"/>
      <c r="Q280" s="52"/>
      <c r="R280" s="87"/>
      <c r="S280" s="87"/>
      <c r="T280" s="87"/>
      <c r="U280" s="87"/>
      <c r="V280" s="87"/>
      <c r="W280" s="87"/>
      <c r="X280" s="87"/>
      <c r="Y280" s="87"/>
    </row>
    <row r="281" spans="2:29" ht="27" customHeight="1">
      <c r="B281" s="239" t="s">
        <v>814</v>
      </c>
      <c r="C281" s="262"/>
      <c r="D281" s="262"/>
      <c r="E281" s="263"/>
      <c r="F281" s="263"/>
      <c r="G281" s="259" t="s">
        <v>234</v>
      </c>
      <c r="H281" s="70"/>
      <c r="I281" s="262"/>
      <c r="J281" s="268"/>
      <c r="K281" s="268"/>
      <c r="L281" s="268"/>
      <c r="M281" s="268"/>
      <c r="N281" s="268"/>
      <c r="O281" s="52"/>
      <c r="P281" s="52"/>
      <c r="Q281" s="52"/>
      <c r="R281" s="87"/>
      <c r="S281" s="87"/>
      <c r="T281" s="87"/>
      <c r="U281" s="87"/>
      <c r="V281" s="87"/>
      <c r="W281" s="87"/>
      <c r="X281" s="87"/>
      <c r="Y281" s="87"/>
    </row>
    <row r="282" spans="2:29" ht="27" customHeight="1">
      <c r="B282" s="264"/>
      <c r="C282" s="263"/>
      <c r="D282" s="262"/>
      <c r="E282" s="263"/>
      <c r="F282" s="263"/>
      <c r="G282" s="263"/>
      <c r="H282" s="105" t="s">
        <v>7</v>
      </c>
      <c r="I282" s="71" t="s">
        <v>8</v>
      </c>
      <c r="J282" s="268"/>
      <c r="K282" s="20" t="s">
        <v>9</v>
      </c>
      <c r="L282" s="268"/>
      <c r="M282" s="431" t="s">
        <v>10</v>
      </c>
      <c r="N282" s="432"/>
      <c r="O282" s="268"/>
      <c r="P282" s="431" t="s">
        <v>914</v>
      </c>
      <c r="Q282" s="432"/>
      <c r="R282" s="87"/>
      <c r="S282" s="87"/>
      <c r="T282" s="87"/>
      <c r="U282" s="87"/>
      <c r="V282" s="87"/>
      <c r="W282" s="87"/>
      <c r="X282" s="87"/>
      <c r="Y282" s="87"/>
    </row>
    <row r="283" spans="2:29" ht="27" customHeight="1">
      <c r="B283" s="21" t="s">
        <v>11</v>
      </c>
      <c r="C283" s="20" t="s">
        <v>12</v>
      </c>
      <c r="D283" s="20" t="s">
        <v>13</v>
      </c>
      <c r="E283" s="21" t="s">
        <v>14</v>
      </c>
      <c r="F283" s="21" t="s">
        <v>15</v>
      </c>
      <c r="G283" s="22" t="s">
        <v>16</v>
      </c>
      <c r="H283" s="4" t="s">
        <v>17</v>
      </c>
      <c r="I283" s="4" t="s">
        <v>17</v>
      </c>
      <c r="J283" s="5"/>
      <c r="K283" s="20" t="s">
        <v>18</v>
      </c>
      <c r="L283" s="5"/>
      <c r="M283" s="109" t="s">
        <v>0</v>
      </c>
      <c r="N283" s="109" t="s">
        <v>1</v>
      </c>
      <c r="O283" s="5"/>
      <c r="P283" s="109" t="s">
        <v>0</v>
      </c>
      <c r="Q283" s="109" t="s">
        <v>1</v>
      </c>
      <c r="R283" s="87"/>
      <c r="S283" s="87"/>
      <c r="T283" s="87"/>
      <c r="U283" s="87"/>
      <c r="V283" s="87"/>
      <c r="W283" s="87"/>
      <c r="X283" s="87"/>
      <c r="Y283" s="87"/>
    </row>
    <row r="284" spans="2:29" ht="27" customHeight="1">
      <c r="B284" s="108" t="s">
        <v>466</v>
      </c>
      <c r="C284" s="107">
        <v>1</v>
      </c>
      <c r="D284" s="107">
        <v>18</v>
      </c>
      <c r="E284" s="67" t="s">
        <v>467</v>
      </c>
      <c r="F284" s="16" t="s">
        <v>393</v>
      </c>
      <c r="G284" s="150" t="s">
        <v>468</v>
      </c>
      <c r="H284" s="107" t="s">
        <v>192</v>
      </c>
      <c r="I284" s="9" t="s">
        <v>192</v>
      </c>
      <c r="J284" s="5"/>
      <c r="K284" s="9" t="s">
        <v>192</v>
      </c>
      <c r="L284" s="5"/>
      <c r="M284" s="18" t="s">
        <v>192</v>
      </c>
      <c r="N284" s="18" t="s">
        <v>192</v>
      </c>
      <c r="O284" s="5"/>
      <c r="P284" s="18" t="s">
        <v>246</v>
      </c>
      <c r="Q284" s="18" t="s">
        <v>246</v>
      </c>
      <c r="R284" s="87"/>
      <c r="S284" s="87"/>
      <c r="T284" s="87"/>
      <c r="U284" s="87"/>
      <c r="V284" s="87"/>
      <c r="W284" s="87"/>
      <c r="X284" s="87"/>
      <c r="Y284" s="87"/>
    </row>
    <row r="285" spans="2:29" ht="27" customHeight="1">
      <c r="B285" s="320" t="s">
        <v>469</v>
      </c>
      <c r="C285" s="319">
        <v>1</v>
      </c>
      <c r="D285" s="319">
        <v>12</v>
      </c>
      <c r="E285" s="320" t="s">
        <v>470</v>
      </c>
      <c r="F285" s="321" t="s">
        <v>471</v>
      </c>
      <c r="G285" s="321" t="s">
        <v>472</v>
      </c>
      <c r="H285" s="322" t="s">
        <v>36</v>
      </c>
      <c r="I285" s="319" t="s">
        <v>123</v>
      </c>
      <c r="J285" s="5"/>
      <c r="K285" s="325" t="s">
        <v>893</v>
      </c>
      <c r="L285" s="13"/>
      <c r="M285" s="326">
        <v>45479</v>
      </c>
      <c r="N285" s="327" t="s">
        <v>55</v>
      </c>
      <c r="O285" s="13"/>
      <c r="P285" s="326">
        <v>45479</v>
      </c>
      <c r="Q285" s="327">
        <v>0.72916666666666663</v>
      </c>
      <c r="R285" s="87"/>
      <c r="S285" s="87"/>
      <c r="T285" s="87"/>
      <c r="U285" s="87"/>
      <c r="V285" s="87"/>
      <c r="W285" s="87"/>
      <c r="X285" s="87"/>
      <c r="Y285" s="87"/>
    </row>
    <row r="286" spans="2:29" ht="27" customHeight="1">
      <c r="B286" s="16" t="s">
        <v>473</v>
      </c>
      <c r="C286" s="18">
        <v>1</v>
      </c>
      <c r="D286" s="18">
        <v>12</v>
      </c>
      <c r="E286" s="16" t="s">
        <v>474</v>
      </c>
      <c r="F286" s="16" t="s">
        <v>475</v>
      </c>
      <c r="G286" s="150" t="s">
        <v>476</v>
      </c>
      <c r="H286" s="182" t="s">
        <v>34</v>
      </c>
      <c r="I286" s="180" t="s">
        <v>96</v>
      </c>
      <c r="J286" s="5"/>
      <c r="K286" s="181" t="s">
        <v>892</v>
      </c>
      <c r="L286" s="5"/>
      <c r="M286" s="285">
        <v>45476</v>
      </c>
      <c r="N286" s="9" t="s">
        <v>55</v>
      </c>
      <c r="O286" s="5"/>
      <c r="P286" s="285">
        <v>45476</v>
      </c>
      <c r="Q286" s="286">
        <v>0.72916666666666663</v>
      </c>
      <c r="R286" s="87"/>
      <c r="S286" s="87"/>
      <c r="T286" s="87"/>
      <c r="U286" s="87"/>
      <c r="V286" s="87"/>
      <c r="W286" s="87"/>
      <c r="X286" s="87"/>
      <c r="Y286" s="87"/>
    </row>
    <row r="287" spans="2:29" ht="27" customHeight="1">
      <c r="B287" s="333" t="s">
        <v>477</v>
      </c>
      <c r="C287" s="328">
        <v>1</v>
      </c>
      <c r="D287" s="328">
        <v>12</v>
      </c>
      <c r="E287" s="333" t="s">
        <v>478</v>
      </c>
      <c r="F287" s="357" t="s">
        <v>479</v>
      </c>
      <c r="G287" s="357" t="s">
        <v>480</v>
      </c>
      <c r="H287" s="374" t="s">
        <v>27</v>
      </c>
      <c r="I287" s="328" t="s">
        <v>313</v>
      </c>
      <c r="J287" s="47"/>
      <c r="K287" s="325" t="s">
        <v>891</v>
      </c>
      <c r="L287" s="48"/>
      <c r="M287" s="329">
        <v>45426</v>
      </c>
      <c r="N287" s="330" t="s">
        <v>213</v>
      </c>
      <c r="O287" s="48"/>
      <c r="P287" s="329" t="s">
        <v>922</v>
      </c>
      <c r="Q287" s="330">
        <v>0.72916666666666663</v>
      </c>
      <c r="R287" s="87"/>
      <c r="S287" s="87"/>
      <c r="T287" s="87"/>
      <c r="U287" s="87"/>
      <c r="V287" s="87"/>
      <c r="W287" s="87"/>
      <c r="X287" s="87"/>
      <c r="Y287" s="87"/>
    </row>
    <row r="288" spans="2:29" ht="27" customHeight="1">
      <c r="B288" s="43" t="s">
        <v>481</v>
      </c>
      <c r="C288" s="58">
        <v>1</v>
      </c>
      <c r="D288" s="58">
        <v>12</v>
      </c>
      <c r="E288" s="43" t="s">
        <v>482</v>
      </c>
      <c r="F288" s="207" t="s">
        <v>483</v>
      </c>
      <c r="G288" s="150" t="s">
        <v>484</v>
      </c>
      <c r="H288" s="58" t="s">
        <v>48</v>
      </c>
      <c r="I288" s="388" t="s">
        <v>80</v>
      </c>
      <c r="J288" s="49"/>
      <c r="K288" s="59" t="s">
        <v>889</v>
      </c>
      <c r="L288" s="49"/>
      <c r="M288" s="166">
        <v>45481</v>
      </c>
      <c r="N288" s="59" t="s">
        <v>29</v>
      </c>
      <c r="O288" s="49"/>
      <c r="P288" s="166">
        <v>45481</v>
      </c>
      <c r="Q288" s="289">
        <v>0.72916666666666663</v>
      </c>
      <c r="R288" s="87"/>
      <c r="S288" s="87"/>
      <c r="T288" s="87"/>
      <c r="U288" s="87"/>
      <c r="V288" s="87"/>
      <c r="W288" s="87"/>
      <c r="X288" s="87"/>
      <c r="Y288" s="87"/>
    </row>
    <row r="289" spans="2:28" ht="27" customHeight="1">
      <c r="B289" s="260"/>
      <c r="C289" s="268"/>
      <c r="D289" s="268"/>
      <c r="E289" s="260"/>
      <c r="F289" s="259"/>
      <c r="G289" s="259"/>
      <c r="H289" s="268"/>
      <c r="I289" s="81"/>
      <c r="J289" s="268"/>
      <c r="K289" s="268"/>
      <c r="L289" s="268"/>
      <c r="M289" s="268"/>
      <c r="N289" s="268"/>
      <c r="O289" s="52"/>
      <c r="P289" s="52"/>
      <c r="Q289" s="52"/>
      <c r="R289" s="87"/>
      <c r="S289" s="87"/>
      <c r="T289" s="87"/>
      <c r="U289" s="87"/>
      <c r="V289" s="87"/>
      <c r="W289" s="87"/>
      <c r="X289" s="87"/>
      <c r="Y289" s="87"/>
    </row>
    <row r="290" spans="2:28" ht="27" customHeight="1">
      <c r="B290" s="239" t="s">
        <v>813</v>
      </c>
      <c r="C290" s="262"/>
      <c r="D290" s="262"/>
      <c r="E290" s="263"/>
      <c r="F290" s="263"/>
      <c r="G290" s="259" t="s">
        <v>234</v>
      </c>
      <c r="H290" s="184"/>
      <c r="I290" s="83"/>
      <c r="J290" s="268"/>
      <c r="K290" s="268"/>
      <c r="L290" s="268"/>
      <c r="M290" s="268"/>
      <c r="N290" s="268"/>
      <c r="O290" s="52"/>
      <c r="P290" s="52"/>
      <c r="Q290" s="52"/>
      <c r="R290" s="87"/>
      <c r="S290" s="87"/>
      <c r="T290" s="87"/>
      <c r="U290" s="87"/>
      <c r="V290" s="87"/>
      <c r="W290" s="87"/>
      <c r="X290" s="87"/>
      <c r="Y290" s="87"/>
    </row>
    <row r="291" spans="2:28" ht="27" customHeight="1">
      <c r="B291" s="264"/>
      <c r="C291" s="263"/>
      <c r="D291" s="262"/>
      <c r="E291" s="263"/>
      <c r="F291" s="263"/>
      <c r="G291" s="263"/>
      <c r="H291" s="105" t="s">
        <v>7</v>
      </c>
      <c r="I291" s="147" t="s">
        <v>8</v>
      </c>
      <c r="J291" s="268"/>
      <c r="K291" s="20" t="s">
        <v>9</v>
      </c>
      <c r="L291" s="268"/>
      <c r="M291" s="425" t="s">
        <v>10</v>
      </c>
      <c r="N291" s="426"/>
      <c r="O291" s="52"/>
      <c r="P291" s="431" t="s">
        <v>914</v>
      </c>
      <c r="Q291" s="432"/>
      <c r="R291" s="87"/>
      <c r="S291" s="87"/>
      <c r="T291" s="87"/>
      <c r="U291" s="87"/>
      <c r="V291" s="87"/>
      <c r="W291" s="87"/>
      <c r="X291" s="87"/>
      <c r="Y291" s="87"/>
    </row>
    <row r="292" spans="2:28" ht="27" customHeight="1">
      <c r="B292" s="21" t="s">
        <v>11</v>
      </c>
      <c r="C292" s="20" t="s">
        <v>12</v>
      </c>
      <c r="D292" s="20" t="s">
        <v>13</v>
      </c>
      <c r="E292" s="21" t="s">
        <v>14</v>
      </c>
      <c r="F292" s="21" t="s">
        <v>15</v>
      </c>
      <c r="G292" s="22" t="s">
        <v>16</v>
      </c>
      <c r="H292" s="4" t="s">
        <v>17</v>
      </c>
      <c r="I292" s="4" t="s">
        <v>17</v>
      </c>
      <c r="J292" s="5"/>
      <c r="K292" s="20" t="s">
        <v>18</v>
      </c>
      <c r="L292" s="64"/>
      <c r="M292" s="71" t="s">
        <v>0</v>
      </c>
      <c r="N292" s="71" t="s">
        <v>1</v>
      </c>
      <c r="O292" s="64"/>
      <c r="P292" s="96" t="s">
        <v>0</v>
      </c>
      <c r="Q292" s="96" t="s">
        <v>1</v>
      </c>
      <c r="R292" s="87"/>
      <c r="S292" s="87"/>
      <c r="T292" s="87"/>
      <c r="U292" s="87"/>
      <c r="V292" s="87"/>
      <c r="W292" s="87"/>
      <c r="X292" s="87"/>
      <c r="Y292" s="87"/>
    </row>
    <row r="293" spans="2:28" ht="27" customHeight="1">
      <c r="B293" s="320" t="s">
        <v>485</v>
      </c>
      <c r="C293" s="319">
        <v>1</v>
      </c>
      <c r="D293" s="319">
        <v>10</v>
      </c>
      <c r="E293" s="320" t="s">
        <v>486</v>
      </c>
      <c r="F293" s="321" t="s">
        <v>487</v>
      </c>
      <c r="G293" s="321" t="s">
        <v>488</v>
      </c>
      <c r="H293" s="322" t="s">
        <v>36</v>
      </c>
      <c r="I293" s="319" t="s">
        <v>281</v>
      </c>
      <c r="J293" s="5"/>
      <c r="K293" s="325" t="s">
        <v>852</v>
      </c>
      <c r="L293" s="13"/>
      <c r="M293" s="326">
        <v>45474</v>
      </c>
      <c r="N293" s="327" t="s">
        <v>29</v>
      </c>
      <c r="O293" s="13"/>
      <c r="P293" s="326">
        <v>45474</v>
      </c>
      <c r="Q293" s="327">
        <v>0.72916666666666663</v>
      </c>
      <c r="R293" s="87"/>
      <c r="S293" s="87"/>
      <c r="T293" s="87"/>
      <c r="U293" s="87"/>
      <c r="V293" s="87"/>
      <c r="W293" s="87"/>
      <c r="X293" s="87"/>
      <c r="Y293" s="87"/>
    </row>
    <row r="294" spans="2:28" ht="27" customHeight="1">
      <c r="B294" s="108" t="s">
        <v>489</v>
      </c>
      <c r="C294" s="107">
        <v>1</v>
      </c>
      <c r="D294" s="107">
        <v>10</v>
      </c>
      <c r="E294" s="8" t="s">
        <v>490</v>
      </c>
      <c r="F294" s="177" t="s">
        <v>491</v>
      </c>
      <c r="G294" s="145" t="s">
        <v>492</v>
      </c>
      <c r="H294" s="107" t="s">
        <v>47</v>
      </c>
      <c r="I294" s="180" t="s">
        <v>493</v>
      </c>
      <c r="J294" s="5"/>
      <c r="K294" s="181" t="s">
        <v>375</v>
      </c>
      <c r="L294" s="64"/>
      <c r="M294" s="285">
        <v>45479</v>
      </c>
      <c r="N294" s="59" t="s">
        <v>29</v>
      </c>
      <c r="O294" s="64"/>
      <c r="P294" s="285">
        <v>45479</v>
      </c>
      <c r="Q294" s="289">
        <v>0.72916666666666663</v>
      </c>
      <c r="R294" s="87"/>
      <c r="S294" s="87"/>
      <c r="T294" s="87"/>
      <c r="U294" s="87"/>
      <c r="V294" s="87"/>
      <c r="W294" s="87"/>
      <c r="X294" s="87"/>
      <c r="Y294" s="87"/>
    </row>
    <row r="295" spans="2:28" ht="27" customHeight="1">
      <c r="B295" s="320" t="s">
        <v>494</v>
      </c>
      <c r="C295" s="319">
        <v>1</v>
      </c>
      <c r="D295" s="319">
        <v>10</v>
      </c>
      <c r="E295" s="320" t="s">
        <v>495</v>
      </c>
      <c r="F295" s="321" t="s">
        <v>414</v>
      </c>
      <c r="G295" s="372" t="s">
        <v>496</v>
      </c>
      <c r="H295" s="322" t="s">
        <v>27</v>
      </c>
      <c r="I295" s="319" t="s">
        <v>136</v>
      </c>
      <c r="J295" s="5"/>
      <c r="K295" s="325" t="s">
        <v>890</v>
      </c>
      <c r="L295" s="13"/>
      <c r="M295" s="326">
        <v>45476</v>
      </c>
      <c r="N295" s="327" t="s">
        <v>29</v>
      </c>
      <c r="O295" s="13"/>
      <c r="P295" s="326">
        <v>45476</v>
      </c>
      <c r="Q295" s="327">
        <v>0.72916666666666663</v>
      </c>
      <c r="R295" s="87"/>
      <c r="S295" s="87"/>
      <c r="T295" s="87"/>
      <c r="U295" s="87"/>
      <c r="V295" s="87"/>
      <c r="W295" s="87"/>
      <c r="X295" s="87"/>
      <c r="Y295" s="87"/>
    </row>
    <row r="296" spans="2:28" ht="27" customHeight="1">
      <c r="B296" s="108" t="s">
        <v>481</v>
      </c>
      <c r="C296" s="107">
        <v>1</v>
      </c>
      <c r="D296" s="107">
        <v>12</v>
      </c>
      <c r="E296" s="16" t="s">
        <v>482</v>
      </c>
      <c r="F296" s="207" t="s">
        <v>483</v>
      </c>
      <c r="G296" s="145" t="s">
        <v>498</v>
      </c>
      <c r="H296" s="58" t="s">
        <v>48</v>
      </c>
      <c r="I296" s="180" t="s">
        <v>80</v>
      </c>
      <c r="J296" s="5"/>
      <c r="K296" s="59" t="s">
        <v>889</v>
      </c>
      <c r="L296" s="64"/>
      <c r="M296" s="291">
        <v>45481</v>
      </c>
      <c r="N296" s="59" t="s">
        <v>29</v>
      </c>
      <c r="O296" s="64"/>
      <c r="P296" s="291">
        <v>45481</v>
      </c>
      <c r="Q296" s="289">
        <v>0.72916666666666663</v>
      </c>
      <c r="R296" s="87"/>
      <c r="S296" s="87"/>
      <c r="T296" s="87"/>
      <c r="U296" s="87"/>
      <c r="V296" s="87"/>
      <c r="W296" s="87"/>
      <c r="X296" s="87"/>
      <c r="Y296" s="87"/>
    </row>
    <row r="297" spans="2:28" ht="27" customHeight="1">
      <c r="B297" s="320" t="s">
        <v>499</v>
      </c>
      <c r="C297" s="319">
        <v>1</v>
      </c>
      <c r="D297" s="319">
        <v>15</v>
      </c>
      <c r="E297" s="320" t="s">
        <v>500</v>
      </c>
      <c r="F297" s="321" t="s">
        <v>501</v>
      </c>
      <c r="G297" s="372" t="s">
        <v>502</v>
      </c>
      <c r="H297" s="322" t="s">
        <v>503</v>
      </c>
      <c r="I297" s="319" t="s">
        <v>80</v>
      </c>
      <c r="J297" s="5"/>
      <c r="K297" s="325" t="s">
        <v>192</v>
      </c>
      <c r="L297" s="13"/>
      <c r="M297" s="326" t="s">
        <v>192</v>
      </c>
      <c r="N297" s="327" t="s">
        <v>192</v>
      </c>
      <c r="O297" s="13"/>
      <c r="P297" s="326" t="s">
        <v>192</v>
      </c>
      <c r="Q297" s="327" t="s">
        <v>192</v>
      </c>
      <c r="R297" s="87"/>
      <c r="S297" s="87"/>
      <c r="T297" s="87"/>
      <c r="U297" s="87"/>
      <c r="V297" s="87"/>
      <c r="W297" s="87"/>
      <c r="X297" s="87"/>
      <c r="Y297" s="87"/>
    </row>
    <row r="298" spans="2:28" ht="27" customHeight="1">
      <c r="B298" s="320" t="s">
        <v>499</v>
      </c>
      <c r="C298" s="319">
        <v>2</v>
      </c>
      <c r="D298" s="319">
        <v>15</v>
      </c>
      <c r="E298" s="320" t="s">
        <v>500</v>
      </c>
      <c r="F298" s="321" t="s">
        <v>410</v>
      </c>
      <c r="G298" s="372" t="s">
        <v>502</v>
      </c>
      <c r="H298" s="322" t="s">
        <v>503</v>
      </c>
      <c r="I298" s="319" t="s">
        <v>80</v>
      </c>
      <c r="J298" s="5"/>
      <c r="K298" s="325" t="s">
        <v>192</v>
      </c>
      <c r="L298" s="13"/>
      <c r="M298" s="326" t="s">
        <v>192</v>
      </c>
      <c r="N298" s="327" t="s">
        <v>192</v>
      </c>
      <c r="O298" s="13"/>
      <c r="P298" s="326" t="s">
        <v>192</v>
      </c>
      <c r="Q298" s="327" t="s">
        <v>192</v>
      </c>
      <c r="R298" s="87"/>
      <c r="S298" s="87"/>
      <c r="T298" s="87"/>
      <c r="U298" s="87"/>
      <c r="V298" s="87"/>
      <c r="W298" s="87"/>
      <c r="X298" s="87"/>
      <c r="Y298" s="87"/>
    </row>
    <row r="299" spans="2:28" ht="29.25" customHeight="1">
      <c r="B299" s="307" t="s">
        <v>504</v>
      </c>
      <c r="C299" s="308">
        <v>1</v>
      </c>
      <c r="D299" s="308">
        <v>15</v>
      </c>
      <c r="E299" s="309" t="s">
        <v>268</v>
      </c>
      <c r="F299" s="310" t="s">
        <v>192</v>
      </c>
      <c r="G299" s="311" t="s">
        <v>505</v>
      </c>
      <c r="H299" s="312" t="s">
        <v>246</v>
      </c>
      <c r="I299" s="312" t="s">
        <v>246</v>
      </c>
      <c r="J299" s="313"/>
      <c r="K299" s="314" t="s">
        <v>192</v>
      </c>
      <c r="L299" s="315"/>
      <c r="M299" s="59" t="s">
        <v>192</v>
      </c>
      <c r="N299" s="59" t="s">
        <v>192</v>
      </c>
      <c r="O299" s="315"/>
      <c r="P299" s="59" t="s">
        <v>192</v>
      </c>
      <c r="Q299" s="59" t="s">
        <v>192</v>
      </c>
      <c r="R299" s="87"/>
      <c r="S299" s="87"/>
      <c r="T299" s="87"/>
      <c r="U299" s="87"/>
      <c r="V299" s="87"/>
      <c r="W299" s="87"/>
      <c r="X299" s="87"/>
      <c r="Y299" s="87"/>
    </row>
    <row r="300" spans="2:28" s="88" customFormat="1" ht="15" customHeight="1"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</row>
    <row r="301" spans="2:28" s="88" customFormat="1" ht="15" customHeight="1"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</row>
    <row r="302" spans="2:28" ht="27" customHeight="1">
      <c r="B302" s="259"/>
      <c r="C302" s="268"/>
      <c r="D302" s="268"/>
      <c r="E302" s="260"/>
      <c r="F302" s="260"/>
      <c r="G302" s="256"/>
      <c r="H302" s="282"/>
      <c r="I302" s="281"/>
      <c r="J302" s="255"/>
      <c r="K302" s="83"/>
      <c r="L302" s="280"/>
      <c r="M302" s="279"/>
      <c r="N302" s="83"/>
      <c r="O302" s="164"/>
      <c r="P302" s="164"/>
      <c r="Q302" s="164"/>
      <c r="R302" s="87"/>
      <c r="S302" s="87"/>
      <c r="T302" s="87"/>
      <c r="U302" s="87"/>
      <c r="V302" s="87"/>
      <c r="W302" s="87"/>
      <c r="X302" s="87"/>
      <c r="Y302" s="87"/>
    </row>
    <row r="303" spans="2:28" ht="27" customHeight="1">
      <c r="B303" s="239" t="s">
        <v>508</v>
      </c>
      <c r="C303" s="268"/>
      <c r="D303" s="268"/>
      <c r="E303" s="260"/>
      <c r="F303" s="259"/>
      <c r="G303" s="259"/>
      <c r="H303" s="268"/>
      <c r="I303" s="81"/>
      <c r="J303" s="268"/>
      <c r="K303" s="268"/>
      <c r="L303" s="268"/>
      <c r="M303" s="268"/>
      <c r="N303" s="268"/>
      <c r="O303" s="52"/>
      <c r="R303" s="87"/>
      <c r="S303" s="87"/>
      <c r="T303" s="87"/>
      <c r="U303" s="87"/>
      <c r="V303" s="87"/>
      <c r="W303" s="87"/>
      <c r="X303" s="87"/>
      <c r="Y303" s="87"/>
    </row>
    <row r="304" spans="2:28" ht="27" customHeight="1">
      <c r="B304" s="264"/>
      <c r="C304" s="263"/>
      <c r="D304" s="262"/>
      <c r="E304" s="263"/>
      <c r="F304" s="263"/>
      <c r="G304" s="263"/>
      <c r="H304" s="105" t="s">
        <v>7</v>
      </c>
      <c r="I304" s="147" t="s">
        <v>8</v>
      </c>
      <c r="J304" s="268"/>
      <c r="K304" s="20" t="s">
        <v>9</v>
      </c>
      <c r="L304" s="268"/>
      <c r="M304" s="425" t="s">
        <v>10</v>
      </c>
      <c r="N304" s="426"/>
      <c r="O304" s="199"/>
      <c r="P304" s="431" t="s">
        <v>914</v>
      </c>
      <c r="Q304" s="432"/>
      <c r="R304" s="87"/>
      <c r="S304" s="87"/>
      <c r="T304" s="87"/>
      <c r="U304" s="87"/>
      <c r="V304" s="87"/>
      <c r="W304" s="87"/>
      <c r="X304" s="87"/>
      <c r="Y304" s="87"/>
    </row>
    <row r="305" spans="1:34" ht="27" customHeight="1">
      <c r="B305" s="21" t="s">
        <v>11</v>
      </c>
      <c r="C305" s="20" t="s">
        <v>12</v>
      </c>
      <c r="D305" s="20" t="s">
        <v>13</v>
      </c>
      <c r="E305" s="21" t="s">
        <v>14</v>
      </c>
      <c r="F305" s="21" t="s">
        <v>15</v>
      </c>
      <c r="G305" s="22" t="s">
        <v>16</v>
      </c>
      <c r="H305" s="4" t="s">
        <v>17</v>
      </c>
      <c r="I305" s="185" t="s">
        <v>17</v>
      </c>
      <c r="J305" s="49"/>
      <c r="K305" s="187" t="s">
        <v>18</v>
      </c>
      <c r="L305" s="5"/>
      <c r="M305" s="109" t="s">
        <v>0</v>
      </c>
      <c r="N305" s="109" t="s">
        <v>1</v>
      </c>
      <c r="O305" s="5"/>
      <c r="P305" s="316" t="s">
        <v>0</v>
      </c>
      <c r="Q305" s="316" t="s">
        <v>1</v>
      </c>
      <c r="R305" s="87"/>
      <c r="S305" s="87"/>
      <c r="T305" s="87"/>
      <c r="U305" s="87"/>
      <c r="V305" s="87"/>
      <c r="W305" s="87"/>
      <c r="X305" s="87"/>
      <c r="Y305" s="87"/>
    </row>
    <row r="306" spans="1:34" ht="27" customHeight="1">
      <c r="B306" s="320" t="s">
        <v>509</v>
      </c>
      <c r="C306" s="319">
        <v>1</v>
      </c>
      <c r="D306" s="319">
        <v>30</v>
      </c>
      <c r="E306" s="320" t="s">
        <v>510</v>
      </c>
      <c r="F306" s="321" t="s">
        <v>511</v>
      </c>
      <c r="G306" s="372" t="s">
        <v>512</v>
      </c>
      <c r="H306" s="322" t="s">
        <v>192</v>
      </c>
      <c r="I306" s="319" t="s">
        <v>192</v>
      </c>
      <c r="J306" s="5"/>
      <c r="K306" s="325" t="s">
        <v>192</v>
      </c>
      <c r="L306" s="13"/>
      <c r="M306" s="326" t="s">
        <v>192</v>
      </c>
      <c r="N306" s="327" t="s">
        <v>192</v>
      </c>
      <c r="O306" s="13"/>
      <c r="P306" s="326" t="s">
        <v>246</v>
      </c>
      <c r="Q306" s="327" t="s">
        <v>246</v>
      </c>
      <c r="R306" s="87"/>
      <c r="S306" s="87"/>
      <c r="T306" s="87"/>
      <c r="U306" s="87"/>
      <c r="V306" s="87"/>
      <c r="W306" s="87"/>
      <c r="X306" s="87"/>
      <c r="Y306" s="87"/>
    </row>
    <row r="307" spans="1:34" ht="29.5" customHeight="1">
      <c r="B307" s="16" t="s">
        <v>469</v>
      </c>
      <c r="C307" s="18">
        <v>1</v>
      </c>
      <c r="D307" s="18">
        <v>12</v>
      </c>
      <c r="E307" s="16" t="s">
        <v>513</v>
      </c>
      <c r="F307" s="16" t="s">
        <v>471</v>
      </c>
      <c r="G307" s="25" t="s">
        <v>472</v>
      </c>
      <c r="H307" s="89" t="s">
        <v>36</v>
      </c>
      <c r="I307" s="186" t="s">
        <v>123</v>
      </c>
      <c r="J307" s="49"/>
      <c r="K307" s="163" t="s">
        <v>897</v>
      </c>
      <c r="L307" s="65"/>
      <c r="M307" s="301">
        <v>45479</v>
      </c>
      <c r="N307" s="18" t="s">
        <v>55</v>
      </c>
      <c r="O307" s="65"/>
      <c r="P307" s="291">
        <v>45479</v>
      </c>
      <c r="Q307" s="289">
        <v>0.72916666666666663</v>
      </c>
      <c r="R307" s="87"/>
      <c r="S307" s="87"/>
      <c r="T307" s="87"/>
      <c r="U307" s="87"/>
      <c r="V307" s="87"/>
      <c r="W307" s="87"/>
      <c r="X307" s="87"/>
      <c r="Y307" s="87"/>
    </row>
    <row r="308" spans="1:34" ht="27" customHeight="1">
      <c r="B308" s="320" t="s">
        <v>477</v>
      </c>
      <c r="C308" s="319">
        <v>1</v>
      </c>
      <c r="D308" s="319">
        <v>12</v>
      </c>
      <c r="E308" s="320" t="s">
        <v>478</v>
      </c>
      <c r="F308" s="321" t="s">
        <v>479</v>
      </c>
      <c r="G308" s="372" t="s">
        <v>480</v>
      </c>
      <c r="H308" s="322" t="s">
        <v>27</v>
      </c>
      <c r="I308" s="319" t="s">
        <v>313</v>
      </c>
      <c r="J308" s="5"/>
      <c r="K308" s="325" t="s">
        <v>891</v>
      </c>
      <c r="L308" s="13"/>
      <c r="M308" s="326">
        <v>45791</v>
      </c>
      <c r="N308" s="327" t="s">
        <v>213</v>
      </c>
      <c r="O308" s="13"/>
      <c r="P308" s="326" t="s">
        <v>922</v>
      </c>
      <c r="Q308" s="327">
        <v>0.72916666666666663</v>
      </c>
      <c r="R308" s="87"/>
      <c r="S308" s="87"/>
      <c r="T308" s="87"/>
      <c r="U308" s="87"/>
      <c r="V308" s="87"/>
      <c r="W308" s="87"/>
      <c r="X308" s="87"/>
      <c r="Y308" s="87"/>
    </row>
    <row r="309" spans="1:34" ht="27" customHeight="1">
      <c r="B309" s="16" t="s">
        <v>473</v>
      </c>
      <c r="C309" s="18">
        <v>1</v>
      </c>
      <c r="D309" s="18">
        <v>12</v>
      </c>
      <c r="E309" s="16" t="s">
        <v>474</v>
      </c>
      <c r="F309" s="16" t="s">
        <v>475</v>
      </c>
      <c r="G309" s="25" t="s">
        <v>476</v>
      </c>
      <c r="H309" s="182" t="s">
        <v>34</v>
      </c>
      <c r="I309" s="186" t="s">
        <v>96</v>
      </c>
      <c r="J309" s="49"/>
      <c r="K309" s="163" t="s">
        <v>898</v>
      </c>
      <c r="L309" s="65"/>
      <c r="M309" s="15">
        <v>46206</v>
      </c>
      <c r="N309" s="302" t="s">
        <v>55</v>
      </c>
      <c r="O309" s="65"/>
      <c r="P309" s="291">
        <v>46206</v>
      </c>
      <c r="Q309" s="289">
        <v>0.72916666666666663</v>
      </c>
      <c r="R309" s="87"/>
      <c r="S309" s="87"/>
      <c r="T309" s="87"/>
      <c r="U309" s="87"/>
      <c r="V309" s="87"/>
      <c r="W309" s="87"/>
      <c r="X309" s="87"/>
      <c r="Y309" s="87"/>
    </row>
    <row r="310" spans="1:34" ht="27" customHeight="1">
      <c r="B310" s="320" t="s">
        <v>481</v>
      </c>
      <c r="C310" s="319">
        <v>1</v>
      </c>
      <c r="D310" s="319">
        <v>12</v>
      </c>
      <c r="E310" s="320" t="s">
        <v>482</v>
      </c>
      <c r="F310" s="321" t="s">
        <v>514</v>
      </c>
      <c r="G310" s="372" t="s">
        <v>484</v>
      </c>
      <c r="H310" s="322" t="s">
        <v>48</v>
      </c>
      <c r="I310" s="319" t="s">
        <v>80</v>
      </c>
      <c r="J310" s="5"/>
      <c r="K310" s="325" t="s">
        <v>889</v>
      </c>
      <c r="L310" s="13"/>
      <c r="M310" s="326">
        <v>45481</v>
      </c>
      <c r="N310" s="327" t="s">
        <v>29</v>
      </c>
      <c r="O310" s="13"/>
      <c r="P310" s="326">
        <v>45481</v>
      </c>
      <c r="Q310" s="327">
        <v>0.72916666666666663</v>
      </c>
      <c r="R310" s="87"/>
      <c r="S310" s="87"/>
      <c r="T310" s="87"/>
      <c r="U310" s="87"/>
      <c r="V310" s="87"/>
      <c r="W310" s="87"/>
      <c r="X310" s="87"/>
      <c r="Y310" s="87"/>
    </row>
    <row r="311" spans="1:34" ht="27" customHeight="1">
      <c r="B311" s="16" t="s">
        <v>515</v>
      </c>
      <c r="C311" s="18">
        <v>1</v>
      </c>
      <c r="D311" s="18">
        <v>12</v>
      </c>
      <c r="E311" s="16" t="s">
        <v>516</v>
      </c>
      <c r="F311" s="16" t="s">
        <v>517</v>
      </c>
      <c r="G311" s="25" t="s">
        <v>473</v>
      </c>
      <c r="H311" s="89" t="s">
        <v>285</v>
      </c>
      <c r="I311" s="186" t="s">
        <v>64</v>
      </c>
      <c r="J311" s="49"/>
      <c r="K311" s="303" t="s">
        <v>899</v>
      </c>
      <c r="L311" s="5"/>
      <c r="M311" s="285">
        <v>45847</v>
      </c>
      <c r="N311" s="9" t="s">
        <v>29</v>
      </c>
      <c r="O311" s="5"/>
      <c r="P311" s="9" t="s">
        <v>192</v>
      </c>
      <c r="Q311" s="9" t="s">
        <v>192</v>
      </c>
      <c r="R311" s="87"/>
      <c r="S311" s="87"/>
      <c r="T311" s="87"/>
      <c r="U311" s="87"/>
      <c r="V311" s="87"/>
      <c r="W311" s="87"/>
      <c r="X311" s="87"/>
      <c r="Y311" s="87"/>
    </row>
    <row r="312" spans="1:34" ht="27" customHeight="1">
      <c r="B312" s="320" t="s">
        <v>518</v>
      </c>
      <c r="C312" s="319">
        <v>1</v>
      </c>
      <c r="D312" s="319">
        <v>12</v>
      </c>
      <c r="E312" s="320" t="s">
        <v>519</v>
      </c>
      <c r="F312" s="321" t="s">
        <v>402</v>
      </c>
      <c r="G312" s="372" t="s">
        <v>824</v>
      </c>
      <c r="H312" s="322" t="s">
        <v>31</v>
      </c>
      <c r="I312" s="319" t="s">
        <v>166</v>
      </c>
      <c r="J312" s="5"/>
      <c r="K312" s="325" t="s">
        <v>900</v>
      </c>
      <c r="L312" s="13"/>
      <c r="M312" s="326">
        <v>45840</v>
      </c>
      <c r="N312" s="327" t="s">
        <v>55</v>
      </c>
      <c r="O312" s="13"/>
      <c r="P312" s="326" t="s">
        <v>192</v>
      </c>
      <c r="Q312" s="327" t="s">
        <v>192</v>
      </c>
      <c r="R312" s="87"/>
      <c r="S312" s="87"/>
      <c r="T312" s="87"/>
      <c r="U312" s="87"/>
      <c r="V312" s="87"/>
      <c r="W312" s="87"/>
      <c r="X312" s="87"/>
      <c r="Y312" s="87"/>
    </row>
    <row r="313" spans="1:34" ht="27" customHeight="1">
      <c r="B313" s="389" t="s">
        <v>520</v>
      </c>
      <c r="C313" s="373">
        <v>1</v>
      </c>
      <c r="D313" s="373">
        <v>10</v>
      </c>
      <c r="E313" s="317" t="s">
        <v>521</v>
      </c>
      <c r="F313" s="390" t="s">
        <v>522</v>
      </c>
      <c r="G313" s="391" t="s">
        <v>825</v>
      </c>
      <c r="H313" s="392" t="s">
        <v>49</v>
      </c>
      <c r="I313" s="393" t="s">
        <v>217</v>
      </c>
      <c r="J313" s="394"/>
      <c r="K313" s="395" t="s">
        <v>901</v>
      </c>
      <c r="L313" s="76"/>
      <c r="M313" s="301">
        <v>45839</v>
      </c>
      <c r="N313" s="56" t="s">
        <v>29</v>
      </c>
      <c r="O313" s="76"/>
      <c r="P313" s="23" t="s">
        <v>192</v>
      </c>
      <c r="Q313" s="23" t="s">
        <v>192</v>
      </c>
      <c r="R313" s="87"/>
      <c r="S313" s="87"/>
      <c r="T313" s="87"/>
      <c r="U313" s="87"/>
      <c r="V313" s="87"/>
      <c r="W313" s="87"/>
      <c r="X313" s="87"/>
      <c r="Y313" s="87"/>
    </row>
    <row r="314" spans="1:34" ht="27" customHeight="1">
      <c r="B314" s="359" t="s">
        <v>523</v>
      </c>
      <c r="C314" s="358">
        <v>1</v>
      </c>
      <c r="D314" s="358">
        <v>12</v>
      </c>
      <c r="E314" s="359" t="s">
        <v>524</v>
      </c>
      <c r="F314" s="335"/>
      <c r="G314" s="396" t="s">
        <v>826</v>
      </c>
      <c r="H314" s="375" t="s">
        <v>192</v>
      </c>
      <c r="I314" s="358" t="s">
        <v>192</v>
      </c>
      <c r="J314" s="49"/>
      <c r="K314" s="358" t="s">
        <v>192</v>
      </c>
      <c r="L314" s="50"/>
      <c r="M314" s="371" t="s">
        <v>192</v>
      </c>
      <c r="N314" s="349" t="s">
        <v>192</v>
      </c>
      <c r="O314" s="50"/>
      <c r="P314" s="371" t="s">
        <v>246</v>
      </c>
      <c r="Q314" s="349" t="s">
        <v>246</v>
      </c>
      <c r="R314" s="87"/>
      <c r="S314" s="87"/>
      <c r="T314" s="87"/>
      <c r="U314" s="87"/>
      <c r="V314" s="87"/>
      <c r="W314" s="87"/>
      <c r="X314" s="87"/>
      <c r="Y314" s="87"/>
    </row>
    <row r="315" spans="1:34" ht="27" customHeight="1">
      <c r="B315" s="260"/>
      <c r="C315" s="268"/>
      <c r="D315" s="268"/>
      <c r="E315" s="260"/>
      <c r="F315" s="259"/>
      <c r="G315" s="259"/>
      <c r="H315" s="268"/>
      <c r="I315" s="83"/>
      <c r="J315" s="262"/>
      <c r="K315" s="262"/>
      <c r="L315" s="262"/>
      <c r="M315" s="262"/>
      <c r="N315" s="268"/>
      <c r="O315" s="52"/>
      <c r="P315" s="52"/>
      <c r="Q315" s="52"/>
      <c r="R315" s="87"/>
      <c r="S315" s="87"/>
      <c r="T315" s="87"/>
      <c r="U315" s="87"/>
      <c r="V315" s="87"/>
      <c r="W315" s="87"/>
      <c r="X315" s="87"/>
      <c r="Y315" s="87"/>
    </row>
    <row r="316" spans="1:34" ht="27" customHeight="1">
      <c r="B316" s="239" t="s">
        <v>812</v>
      </c>
      <c r="C316" s="262"/>
      <c r="D316" s="262"/>
      <c r="E316" s="263"/>
      <c r="F316" s="263"/>
      <c r="G316" s="259" t="s">
        <v>234</v>
      </c>
      <c r="H316" s="184"/>
      <c r="I316" s="83"/>
      <c r="J316" s="268"/>
      <c r="K316" s="268"/>
      <c r="L316" s="268"/>
      <c r="M316" s="268"/>
      <c r="N316" s="268"/>
      <c r="O316" s="52"/>
      <c r="P316" s="52"/>
      <c r="Q316" s="52"/>
      <c r="R316" s="87"/>
      <c r="S316" s="87"/>
      <c r="T316" s="87"/>
      <c r="U316" s="87"/>
      <c r="V316" s="87"/>
      <c r="W316" s="87"/>
      <c r="X316" s="87"/>
      <c r="Y316" s="87"/>
    </row>
    <row r="317" spans="1:34" ht="27" customHeight="1">
      <c r="B317" s="264"/>
      <c r="C317" s="263"/>
      <c r="D317" s="262"/>
      <c r="E317" s="263"/>
      <c r="F317" s="263"/>
      <c r="G317" s="263"/>
      <c r="H317" s="105" t="s">
        <v>7</v>
      </c>
      <c r="I317" s="147" t="s">
        <v>8</v>
      </c>
      <c r="J317" s="268"/>
      <c r="K317" s="20" t="s">
        <v>9</v>
      </c>
      <c r="L317" s="268"/>
      <c r="M317" s="431" t="s">
        <v>10</v>
      </c>
      <c r="N317" s="432"/>
      <c r="O317" s="199"/>
      <c r="P317" s="431" t="s">
        <v>914</v>
      </c>
      <c r="Q317" s="432"/>
      <c r="R317" s="87"/>
      <c r="S317" s="87"/>
      <c r="T317" s="87"/>
      <c r="U317" s="87"/>
      <c r="V317" s="87"/>
      <c r="W317" s="87"/>
      <c r="X317" s="87"/>
      <c r="Y317" s="87"/>
    </row>
    <row r="318" spans="1:34" ht="27" customHeight="1">
      <c r="B318" s="21" t="s">
        <v>11</v>
      </c>
      <c r="C318" s="20" t="s">
        <v>12</v>
      </c>
      <c r="D318" s="20" t="s">
        <v>13</v>
      </c>
      <c r="E318" s="21" t="s">
        <v>14</v>
      </c>
      <c r="F318" s="21" t="s">
        <v>15</v>
      </c>
      <c r="G318" s="22" t="s">
        <v>16</v>
      </c>
      <c r="H318" s="4" t="s">
        <v>17</v>
      </c>
      <c r="I318" s="185" t="s">
        <v>17</v>
      </c>
      <c r="J318" s="49"/>
      <c r="K318" s="189" t="s">
        <v>18</v>
      </c>
      <c r="L318" s="5"/>
      <c r="M318" s="109" t="s">
        <v>0</v>
      </c>
      <c r="N318" s="109" t="s">
        <v>1</v>
      </c>
      <c r="O318" s="5"/>
      <c r="P318" s="316" t="s">
        <v>0</v>
      </c>
      <c r="Q318" s="316" t="s">
        <v>1</v>
      </c>
      <c r="R318" s="87"/>
      <c r="S318" s="87"/>
      <c r="T318" s="87"/>
      <c r="U318" s="87"/>
      <c r="V318" s="87"/>
      <c r="W318" s="87"/>
      <c r="X318" s="87"/>
      <c r="Y318" s="87"/>
    </row>
    <row r="319" spans="1:34" s="94" customFormat="1" ht="27.4" customHeight="1">
      <c r="A319" s="133"/>
      <c r="B319" s="90" t="s">
        <v>525</v>
      </c>
      <c r="C319" s="91">
        <v>1</v>
      </c>
      <c r="D319" s="91">
        <v>10</v>
      </c>
      <c r="E319" s="92" t="s">
        <v>526</v>
      </c>
      <c r="F319" s="92" t="s">
        <v>378</v>
      </c>
      <c r="G319" s="158" t="s">
        <v>527</v>
      </c>
      <c r="H319" s="9" t="s">
        <v>528</v>
      </c>
      <c r="I319" s="188" t="s">
        <v>529</v>
      </c>
      <c r="J319" s="49"/>
      <c r="K319" s="194" t="s">
        <v>902</v>
      </c>
      <c r="L319" s="65"/>
      <c r="M319" s="15">
        <v>45845</v>
      </c>
      <c r="N319" s="18" t="s">
        <v>213</v>
      </c>
      <c r="O319" s="5"/>
      <c r="P319" s="247" t="s">
        <v>192</v>
      </c>
      <c r="Q319" s="247" t="s">
        <v>192</v>
      </c>
      <c r="R319" s="69"/>
      <c r="S319" s="69"/>
      <c r="T319" s="69"/>
      <c r="U319" s="69"/>
      <c r="V319" s="69"/>
      <c r="W319" s="69"/>
      <c r="X319" s="69"/>
      <c r="Y319" s="69"/>
      <c r="Z319" s="133"/>
      <c r="AA319" s="133"/>
      <c r="AB319" s="133"/>
      <c r="AC319" s="133"/>
      <c r="AD319" s="133"/>
      <c r="AE319" s="133"/>
      <c r="AF319" s="133"/>
      <c r="AG319" s="133"/>
      <c r="AH319" s="133"/>
    </row>
    <row r="320" spans="1:34" ht="27" customHeight="1">
      <c r="B320" s="320" t="s">
        <v>530</v>
      </c>
      <c r="C320" s="319">
        <v>1</v>
      </c>
      <c r="D320" s="319">
        <v>10</v>
      </c>
      <c r="E320" s="320" t="s">
        <v>531</v>
      </c>
      <c r="F320" s="321" t="s">
        <v>532</v>
      </c>
      <c r="G320" s="372" t="s">
        <v>527</v>
      </c>
      <c r="H320" s="322" t="s">
        <v>533</v>
      </c>
      <c r="I320" s="319" t="s">
        <v>534</v>
      </c>
      <c r="J320" s="5"/>
      <c r="K320" s="325" t="s">
        <v>903</v>
      </c>
      <c r="L320" s="13"/>
      <c r="M320" s="326">
        <v>45847</v>
      </c>
      <c r="N320" s="327" t="s">
        <v>213</v>
      </c>
      <c r="O320" s="13"/>
      <c r="P320" s="326" t="s">
        <v>192</v>
      </c>
      <c r="Q320" s="327" t="s">
        <v>192</v>
      </c>
      <c r="R320" s="87"/>
      <c r="S320" s="87"/>
      <c r="T320" s="87"/>
      <c r="U320" s="87"/>
      <c r="V320" s="87"/>
      <c r="W320" s="87"/>
      <c r="X320" s="87"/>
      <c r="Y320" s="87"/>
    </row>
    <row r="321" spans="1:34" s="94" customFormat="1" ht="27.4" customHeight="1">
      <c r="A321" s="133"/>
      <c r="B321" s="108" t="s">
        <v>489</v>
      </c>
      <c r="C321" s="107">
        <v>1</v>
      </c>
      <c r="D321" s="107">
        <v>10</v>
      </c>
      <c r="E321" s="16" t="s">
        <v>535</v>
      </c>
      <c r="F321" s="93" t="s">
        <v>491</v>
      </c>
      <c r="G321" s="25" t="s">
        <v>536</v>
      </c>
      <c r="H321" s="107" t="s">
        <v>47</v>
      </c>
      <c r="I321" s="186" t="s">
        <v>493</v>
      </c>
      <c r="J321" s="49"/>
      <c r="K321" s="163" t="s">
        <v>375</v>
      </c>
      <c r="L321" s="65"/>
      <c r="M321" s="301">
        <v>45479</v>
      </c>
      <c r="N321" s="9" t="s">
        <v>29</v>
      </c>
      <c r="O321" s="5"/>
      <c r="P321" s="285">
        <v>45479</v>
      </c>
      <c r="Q321" s="289">
        <v>0.72916666666666663</v>
      </c>
      <c r="R321" s="69"/>
      <c r="S321" s="69"/>
      <c r="T321" s="69"/>
      <c r="U321" s="69"/>
      <c r="V321" s="69"/>
      <c r="W321" s="69"/>
      <c r="X321" s="69"/>
      <c r="Y321" s="69"/>
      <c r="Z321" s="133"/>
      <c r="AA321" s="133"/>
      <c r="AB321" s="133"/>
      <c r="AC321" s="133"/>
      <c r="AD321" s="133"/>
      <c r="AE321" s="133"/>
      <c r="AF321" s="133"/>
      <c r="AG321" s="133"/>
      <c r="AH321" s="133"/>
    </row>
    <row r="322" spans="1:34" ht="27" customHeight="1">
      <c r="B322" s="320" t="s">
        <v>494</v>
      </c>
      <c r="C322" s="319">
        <v>1</v>
      </c>
      <c r="D322" s="319">
        <v>10</v>
      </c>
      <c r="E322" s="320" t="s">
        <v>537</v>
      </c>
      <c r="F322" s="321" t="s">
        <v>414</v>
      </c>
      <c r="G322" s="372" t="s">
        <v>538</v>
      </c>
      <c r="H322" s="322" t="s">
        <v>27</v>
      </c>
      <c r="I322" s="319" t="s">
        <v>136</v>
      </c>
      <c r="J322" s="5"/>
      <c r="K322" s="325" t="s">
        <v>890</v>
      </c>
      <c r="L322" s="13"/>
      <c r="M322" s="326">
        <v>45841</v>
      </c>
      <c r="N322" s="327" t="s">
        <v>29</v>
      </c>
      <c r="O322" s="13"/>
      <c r="P322" s="326">
        <v>45476</v>
      </c>
      <c r="Q322" s="327">
        <v>0.72916666666666663</v>
      </c>
      <c r="R322" s="87"/>
      <c r="S322" s="87"/>
      <c r="T322" s="87"/>
      <c r="U322" s="87"/>
      <c r="V322" s="87"/>
      <c r="W322" s="87"/>
      <c r="X322" s="87"/>
      <c r="Y322" s="87"/>
    </row>
    <row r="323" spans="1:34" s="94" customFormat="1" ht="27.4" customHeight="1">
      <c r="A323" s="133"/>
      <c r="B323" s="16" t="s">
        <v>539</v>
      </c>
      <c r="C323" s="18">
        <v>1</v>
      </c>
      <c r="D323" s="18">
        <v>10</v>
      </c>
      <c r="E323" s="16" t="s">
        <v>540</v>
      </c>
      <c r="F323" s="92" t="s">
        <v>541</v>
      </c>
      <c r="G323" s="25" t="s">
        <v>836</v>
      </c>
      <c r="H323" s="31" t="s">
        <v>38</v>
      </c>
      <c r="I323" s="183" t="s">
        <v>113</v>
      </c>
      <c r="J323" s="49"/>
      <c r="K323" s="194" t="s">
        <v>904</v>
      </c>
      <c r="L323" s="65"/>
      <c r="M323" s="15">
        <v>45840</v>
      </c>
      <c r="N323" s="18" t="s">
        <v>29</v>
      </c>
      <c r="O323" s="5"/>
      <c r="P323" s="247" t="s">
        <v>192</v>
      </c>
      <c r="Q323" s="247" t="s">
        <v>192</v>
      </c>
      <c r="R323" s="69"/>
      <c r="S323" s="69"/>
      <c r="T323" s="69"/>
      <c r="U323" s="69"/>
      <c r="V323" s="69"/>
      <c r="W323" s="69"/>
      <c r="X323" s="69"/>
      <c r="Y323" s="69"/>
      <c r="Z323" s="133"/>
      <c r="AA323" s="133"/>
      <c r="AB323" s="133"/>
      <c r="AC323" s="133"/>
      <c r="AD323" s="133"/>
      <c r="AE323" s="133"/>
      <c r="AF323" s="133"/>
      <c r="AG323" s="133"/>
      <c r="AH323" s="133"/>
    </row>
    <row r="324" spans="1:34" ht="27" customHeight="1">
      <c r="B324" s="320" t="s">
        <v>542</v>
      </c>
      <c r="C324" s="319">
        <v>1</v>
      </c>
      <c r="D324" s="319">
        <v>10</v>
      </c>
      <c r="E324" s="320" t="s">
        <v>543</v>
      </c>
      <c r="F324" s="321" t="s">
        <v>544</v>
      </c>
      <c r="G324" s="372" t="s">
        <v>545</v>
      </c>
      <c r="H324" s="322" t="s">
        <v>38</v>
      </c>
      <c r="I324" s="319" t="s">
        <v>113</v>
      </c>
      <c r="J324" s="5"/>
      <c r="K324" s="325" t="s">
        <v>905</v>
      </c>
      <c r="L324" s="13"/>
      <c r="M324" s="326">
        <v>45840</v>
      </c>
      <c r="N324" s="327" t="s">
        <v>29</v>
      </c>
      <c r="O324" s="13"/>
      <c r="P324" s="326" t="s">
        <v>192</v>
      </c>
      <c r="Q324" s="327" t="s">
        <v>192</v>
      </c>
      <c r="R324" s="87"/>
      <c r="S324" s="87"/>
      <c r="T324" s="87"/>
      <c r="U324" s="87"/>
      <c r="V324" s="87"/>
      <c r="W324" s="87"/>
      <c r="X324" s="87"/>
      <c r="Y324" s="87"/>
    </row>
    <row r="325" spans="1:34" s="94" customFormat="1" ht="27.4" customHeight="1">
      <c r="A325" s="133"/>
      <c r="B325" s="16" t="s">
        <v>546</v>
      </c>
      <c r="C325" s="18">
        <v>1</v>
      </c>
      <c r="D325" s="18">
        <v>10</v>
      </c>
      <c r="E325" s="16" t="s">
        <v>547</v>
      </c>
      <c r="F325" s="92" t="s">
        <v>395</v>
      </c>
      <c r="G325" s="25" t="s">
        <v>548</v>
      </c>
      <c r="H325" s="9" t="s">
        <v>48</v>
      </c>
      <c r="I325" s="183" t="s">
        <v>123</v>
      </c>
      <c r="J325" s="49"/>
      <c r="K325" s="194" t="s">
        <v>192</v>
      </c>
      <c r="L325" s="65"/>
      <c r="M325" s="15" t="s">
        <v>192</v>
      </c>
      <c r="N325" s="9" t="s">
        <v>192</v>
      </c>
      <c r="O325" s="5"/>
      <c r="P325" s="247" t="s">
        <v>192</v>
      </c>
      <c r="Q325" s="247" t="s">
        <v>192</v>
      </c>
      <c r="R325" s="69"/>
      <c r="S325" s="69"/>
      <c r="T325" s="69"/>
      <c r="U325" s="69"/>
      <c r="V325" s="69"/>
      <c r="W325" s="69"/>
      <c r="X325" s="69"/>
      <c r="Y325" s="69"/>
      <c r="Z325" s="133"/>
      <c r="AA325" s="133"/>
      <c r="AB325" s="133"/>
      <c r="AC325" s="133"/>
      <c r="AD325" s="133"/>
      <c r="AE325" s="133"/>
      <c r="AF325" s="133"/>
      <c r="AG325" s="133"/>
      <c r="AH325" s="133"/>
    </row>
    <row r="326" spans="1:34" ht="46.5" customHeight="1">
      <c r="B326" s="320" t="s">
        <v>549</v>
      </c>
      <c r="C326" s="319">
        <v>1</v>
      </c>
      <c r="D326" s="319">
        <v>10</v>
      </c>
      <c r="E326" s="320" t="s">
        <v>550</v>
      </c>
      <c r="F326" s="321" t="s">
        <v>551</v>
      </c>
      <c r="G326" s="372" t="s">
        <v>552</v>
      </c>
      <c r="H326" s="322" t="s">
        <v>44</v>
      </c>
      <c r="I326" s="319" t="s">
        <v>64</v>
      </c>
      <c r="J326" s="5"/>
      <c r="K326" s="325" t="s">
        <v>912</v>
      </c>
      <c r="L326" s="13"/>
      <c r="M326" s="326">
        <v>46212</v>
      </c>
      <c r="N326" s="327" t="s">
        <v>55</v>
      </c>
      <c r="O326" s="13"/>
      <c r="P326" s="326" t="s">
        <v>192</v>
      </c>
      <c r="Q326" s="327" t="s">
        <v>192</v>
      </c>
      <c r="R326" s="87"/>
      <c r="S326" s="87"/>
      <c r="T326" s="87"/>
      <c r="U326" s="87"/>
      <c r="V326" s="87"/>
      <c r="W326" s="87"/>
      <c r="X326" s="87"/>
      <c r="Y326" s="87"/>
    </row>
    <row r="327" spans="1:34" ht="27.4" customHeight="1">
      <c r="B327" s="16" t="s">
        <v>553</v>
      </c>
      <c r="C327" s="18">
        <v>1</v>
      </c>
      <c r="D327" s="18">
        <v>10</v>
      </c>
      <c r="E327" s="95" t="s">
        <v>554</v>
      </c>
      <c r="F327" s="92" t="s">
        <v>407</v>
      </c>
      <c r="G327" s="243" t="s">
        <v>823</v>
      </c>
      <c r="H327" s="9" t="s">
        <v>31</v>
      </c>
      <c r="I327" s="183" t="s">
        <v>79</v>
      </c>
      <c r="J327" s="49"/>
      <c r="K327" s="194" t="s">
        <v>907</v>
      </c>
      <c r="L327" s="65"/>
      <c r="M327" s="15">
        <v>46210</v>
      </c>
      <c r="N327" s="9" t="s">
        <v>29</v>
      </c>
      <c r="O327" s="5"/>
      <c r="P327" s="247" t="s">
        <v>192</v>
      </c>
      <c r="Q327" s="247" t="s">
        <v>192</v>
      </c>
    </row>
    <row r="328" spans="1:34" ht="27" customHeight="1">
      <c r="B328" s="320" t="s">
        <v>555</v>
      </c>
      <c r="C328" s="319">
        <v>1</v>
      </c>
      <c r="D328" s="319">
        <v>5</v>
      </c>
      <c r="E328" s="320" t="s">
        <v>556</v>
      </c>
      <c r="F328" s="321" t="s">
        <v>557</v>
      </c>
      <c r="G328" s="372" t="s">
        <v>489</v>
      </c>
      <c r="H328" s="322" t="s">
        <v>181</v>
      </c>
      <c r="I328" s="319" t="s">
        <v>558</v>
      </c>
      <c r="J328" s="5"/>
      <c r="K328" s="325" t="s">
        <v>908</v>
      </c>
      <c r="L328" s="13"/>
      <c r="M328" s="326">
        <v>45838</v>
      </c>
      <c r="N328" s="327" t="s">
        <v>213</v>
      </c>
      <c r="O328" s="13"/>
      <c r="P328" s="326" t="s">
        <v>192</v>
      </c>
      <c r="Q328" s="327" t="s">
        <v>192</v>
      </c>
      <c r="R328" s="87"/>
      <c r="S328" s="87"/>
      <c r="T328" s="87"/>
      <c r="U328" s="87"/>
      <c r="V328" s="87"/>
      <c r="W328" s="87"/>
      <c r="X328" s="87"/>
      <c r="Y328" s="87"/>
    </row>
    <row r="329" spans="1:34" s="94" customFormat="1" ht="27.4" customHeight="1">
      <c r="A329" s="133"/>
      <c r="B329" s="16" t="s">
        <v>559</v>
      </c>
      <c r="C329" s="19">
        <v>1</v>
      </c>
      <c r="D329" s="18">
        <v>10</v>
      </c>
      <c r="E329" s="16" t="s">
        <v>560</v>
      </c>
      <c r="F329" s="92" t="s">
        <v>561</v>
      </c>
      <c r="G329" s="25" t="s">
        <v>821</v>
      </c>
      <c r="H329" s="31" t="s">
        <v>562</v>
      </c>
      <c r="I329" s="183" t="s">
        <v>563</v>
      </c>
      <c r="J329" s="49"/>
      <c r="K329" s="194" t="s">
        <v>906</v>
      </c>
      <c r="L329" s="65"/>
      <c r="M329" s="15">
        <v>46204</v>
      </c>
      <c r="N329" s="18" t="s">
        <v>213</v>
      </c>
      <c r="O329" s="5"/>
      <c r="P329" s="247" t="s">
        <v>192</v>
      </c>
      <c r="Q329" s="247" t="s">
        <v>192</v>
      </c>
      <c r="R329" s="69"/>
      <c r="S329" s="69"/>
      <c r="T329" s="69"/>
      <c r="U329" s="69"/>
      <c r="V329" s="69"/>
      <c r="W329" s="69"/>
      <c r="X329" s="69"/>
      <c r="Y329" s="69"/>
      <c r="Z329" s="133"/>
      <c r="AA329" s="133"/>
      <c r="AB329" s="133"/>
      <c r="AC329" s="133"/>
      <c r="AD329" s="133"/>
      <c r="AE329" s="133"/>
      <c r="AF329" s="133"/>
      <c r="AG329" s="133"/>
      <c r="AH329" s="133"/>
    </row>
    <row r="330" spans="1:34" ht="27" customHeight="1">
      <c r="B330" s="320" t="s">
        <v>564</v>
      </c>
      <c r="C330" s="319">
        <v>1</v>
      </c>
      <c r="D330" s="319">
        <v>10</v>
      </c>
      <c r="E330" s="320" t="s">
        <v>565</v>
      </c>
      <c r="F330" s="321" t="s">
        <v>566</v>
      </c>
      <c r="G330" s="372" t="s">
        <v>567</v>
      </c>
      <c r="H330" s="322" t="s">
        <v>34</v>
      </c>
      <c r="I330" s="319" t="s">
        <v>96</v>
      </c>
      <c r="J330" s="5"/>
      <c r="K330" s="325" t="s">
        <v>909</v>
      </c>
      <c r="L330" s="13"/>
      <c r="M330" s="326">
        <v>45848</v>
      </c>
      <c r="N330" s="327" t="s">
        <v>29</v>
      </c>
      <c r="O330" s="13"/>
      <c r="P330" s="326" t="s">
        <v>192</v>
      </c>
      <c r="Q330" s="327" t="s">
        <v>192</v>
      </c>
      <c r="R330" s="87"/>
      <c r="S330" s="87"/>
      <c r="T330" s="87"/>
      <c r="U330" s="87"/>
      <c r="V330" s="87"/>
      <c r="W330" s="87"/>
      <c r="X330" s="87"/>
      <c r="Y330" s="87"/>
    </row>
    <row r="331" spans="1:34" s="94" customFormat="1" ht="27.4" customHeight="1">
      <c r="A331" s="133"/>
      <c r="B331" s="16" t="s">
        <v>568</v>
      </c>
      <c r="C331" s="19">
        <v>1</v>
      </c>
      <c r="D331" s="18">
        <v>10</v>
      </c>
      <c r="E331" s="16" t="s">
        <v>569</v>
      </c>
      <c r="F331" s="92" t="s">
        <v>570</v>
      </c>
      <c r="G331" s="10" t="s">
        <v>571</v>
      </c>
      <c r="H331" s="31" t="s">
        <v>572</v>
      </c>
      <c r="I331" s="179" t="s">
        <v>175</v>
      </c>
      <c r="J331" s="49"/>
      <c r="K331" s="163" t="s">
        <v>910</v>
      </c>
      <c r="L331" s="65"/>
      <c r="M331" s="15">
        <v>45107</v>
      </c>
      <c r="N331" s="15" t="s">
        <v>55</v>
      </c>
      <c r="O331" s="5"/>
      <c r="P331" s="247" t="s">
        <v>192</v>
      </c>
      <c r="Q331" s="247" t="s">
        <v>192</v>
      </c>
      <c r="R331" s="69"/>
      <c r="S331" s="69"/>
      <c r="T331" s="69"/>
      <c r="U331" s="69"/>
      <c r="V331" s="69"/>
      <c r="W331" s="69"/>
      <c r="X331" s="69"/>
      <c r="Y331" s="69"/>
      <c r="Z331" s="133"/>
      <c r="AA331" s="133"/>
      <c r="AB331" s="133"/>
      <c r="AC331" s="133"/>
      <c r="AD331" s="133"/>
      <c r="AE331" s="133"/>
      <c r="AF331" s="133"/>
      <c r="AG331" s="133"/>
      <c r="AH331" s="133"/>
    </row>
    <row r="332" spans="1:34" ht="27" customHeight="1">
      <c r="B332" s="320" t="s">
        <v>573</v>
      </c>
      <c r="C332" s="319">
        <v>1</v>
      </c>
      <c r="D332" s="319">
        <v>10</v>
      </c>
      <c r="E332" s="320" t="s">
        <v>574</v>
      </c>
      <c r="F332" s="321" t="s">
        <v>401</v>
      </c>
      <c r="G332" s="372" t="s">
        <v>822</v>
      </c>
      <c r="H332" s="322" t="s">
        <v>35</v>
      </c>
      <c r="I332" s="319" t="s">
        <v>28</v>
      </c>
      <c r="J332" s="5"/>
      <c r="K332" s="325" t="s">
        <v>911</v>
      </c>
      <c r="L332" s="13"/>
      <c r="M332" s="326">
        <v>45846</v>
      </c>
      <c r="N332" s="327" t="s">
        <v>55</v>
      </c>
      <c r="O332" s="13"/>
      <c r="P332" s="326" t="s">
        <v>192</v>
      </c>
      <c r="Q332" s="327" t="s">
        <v>192</v>
      </c>
      <c r="R332" s="87"/>
      <c r="S332" s="87"/>
      <c r="T332" s="87"/>
      <c r="U332" s="87"/>
      <c r="V332" s="87"/>
      <c r="W332" s="87"/>
      <c r="X332" s="87"/>
      <c r="Y332" s="87"/>
    </row>
    <row r="333" spans="1:34" s="94" customFormat="1" ht="27.4" customHeight="1">
      <c r="A333" s="133"/>
      <c r="B333" s="67" t="s">
        <v>575</v>
      </c>
      <c r="C333" s="18">
        <v>1</v>
      </c>
      <c r="D333" s="18">
        <v>20</v>
      </c>
      <c r="E333" s="16" t="s">
        <v>576</v>
      </c>
      <c r="F333" s="92" t="s">
        <v>577</v>
      </c>
      <c r="G333" s="25" t="s">
        <v>578</v>
      </c>
      <c r="H333" s="18" t="s">
        <v>192</v>
      </c>
      <c r="I333" s="18" t="s">
        <v>192</v>
      </c>
      <c r="J333" s="156"/>
      <c r="K333" s="9" t="s">
        <v>192</v>
      </c>
      <c r="L333" s="5"/>
      <c r="M333" s="15" t="s">
        <v>192</v>
      </c>
      <c r="N333" s="15" t="s">
        <v>192</v>
      </c>
      <c r="O333" s="5"/>
      <c r="P333" s="247" t="s">
        <v>192</v>
      </c>
      <c r="Q333" s="247" t="s">
        <v>192</v>
      </c>
      <c r="R333" s="69"/>
      <c r="S333" s="69"/>
      <c r="T333" s="69"/>
      <c r="U333" s="69"/>
      <c r="V333" s="69"/>
      <c r="W333" s="69"/>
      <c r="X333" s="69"/>
      <c r="Y333" s="69"/>
      <c r="Z333" s="133"/>
      <c r="AA333" s="133"/>
      <c r="AB333" s="133"/>
      <c r="AC333" s="133"/>
      <c r="AD333" s="133"/>
      <c r="AE333" s="133"/>
      <c r="AF333" s="133"/>
      <c r="AG333" s="133"/>
      <c r="AH333" s="133"/>
    </row>
    <row r="334" spans="1:34" ht="27" customHeight="1">
      <c r="B334" s="320" t="s">
        <v>579</v>
      </c>
      <c r="C334" s="319">
        <v>1</v>
      </c>
      <c r="D334" s="319">
        <v>20</v>
      </c>
      <c r="E334" s="320" t="s">
        <v>580</v>
      </c>
      <c r="F334" s="321" t="s">
        <v>577</v>
      </c>
      <c r="G334" s="372" t="s">
        <v>581</v>
      </c>
      <c r="H334" s="322" t="s">
        <v>192</v>
      </c>
      <c r="I334" s="319" t="s">
        <v>192</v>
      </c>
      <c r="J334" s="5"/>
      <c r="K334" s="325" t="s">
        <v>192</v>
      </c>
      <c r="L334" s="13"/>
      <c r="M334" s="326" t="s">
        <v>192</v>
      </c>
      <c r="N334" s="327" t="s">
        <v>192</v>
      </c>
      <c r="O334" s="13"/>
      <c r="P334" s="326" t="s">
        <v>192</v>
      </c>
      <c r="Q334" s="327" t="s">
        <v>192</v>
      </c>
      <c r="R334" s="87"/>
      <c r="S334" s="87"/>
      <c r="T334" s="87"/>
      <c r="U334" s="87"/>
      <c r="V334" s="87"/>
      <c r="W334" s="87"/>
      <c r="X334" s="87"/>
      <c r="Y334" s="87"/>
    </row>
    <row r="335" spans="1:34" ht="27.4" customHeight="1">
      <c r="B335" s="16" t="s">
        <v>582</v>
      </c>
      <c r="C335" s="18">
        <v>1</v>
      </c>
      <c r="D335" s="18">
        <v>20</v>
      </c>
      <c r="E335" s="16" t="s">
        <v>583</v>
      </c>
      <c r="F335" s="92" t="s">
        <v>577</v>
      </c>
      <c r="G335" s="25" t="s">
        <v>584</v>
      </c>
      <c r="H335" s="18" t="s">
        <v>192</v>
      </c>
      <c r="I335" s="18" t="s">
        <v>192</v>
      </c>
      <c r="J335" s="5"/>
      <c r="K335" s="23" t="s">
        <v>192</v>
      </c>
      <c r="L335" s="5"/>
      <c r="M335" s="15" t="s">
        <v>192</v>
      </c>
      <c r="N335" s="15" t="s">
        <v>192</v>
      </c>
      <c r="O335" s="5"/>
      <c r="P335" s="247" t="s">
        <v>192</v>
      </c>
      <c r="Q335" s="247" t="s">
        <v>192</v>
      </c>
      <c r="R335" s="87"/>
      <c r="S335" s="87"/>
      <c r="T335" s="87"/>
      <c r="U335" s="87"/>
      <c r="V335" s="87"/>
      <c r="W335" s="87"/>
      <c r="X335" s="87"/>
      <c r="Y335" s="87"/>
    </row>
    <row r="336" spans="1:34" ht="27" customHeight="1">
      <c r="B336" s="320" t="s">
        <v>506</v>
      </c>
      <c r="C336" s="319">
        <v>1</v>
      </c>
      <c r="D336" s="319">
        <v>5</v>
      </c>
      <c r="E336" s="320" t="s">
        <v>507</v>
      </c>
      <c r="F336" s="321" t="s">
        <v>479</v>
      </c>
      <c r="G336" s="372" t="s">
        <v>480</v>
      </c>
      <c r="H336" s="322" t="s">
        <v>27</v>
      </c>
      <c r="I336" s="319" t="s">
        <v>313</v>
      </c>
      <c r="J336" s="64"/>
      <c r="K336" s="358" t="s">
        <v>891</v>
      </c>
      <c r="L336" s="206"/>
      <c r="M336" s="326">
        <v>45426</v>
      </c>
      <c r="N336" s="327" t="s">
        <v>213</v>
      </c>
      <c r="O336" s="13"/>
      <c r="P336" s="326" t="s">
        <v>922</v>
      </c>
      <c r="Q336" s="327">
        <v>0.72916666666666663</v>
      </c>
      <c r="R336" s="87"/>
      <c r="S336" s="87"/>
      <c r="T336" s="87"/>
      <c r="U336" s="87"/>
      <c r="V336" s="87"/>
      <c r="W336" s="87"/>
      <c r="X336" s="87"/>
      <c r="Y336" s="87"/>
    </row>
    <row r="337" spans="2:25" ht="16.149999999999999" customHeight="1">
      <c r="B337" s="252" t="s">
        <v>921</v>
      </c>
      <c r="C337" s="268"/>
      <c r="D337" s="268"/>
      <c r="E337" s="260"/>
      <c r="F337" s="260"/>
      <c r="G337" s="256"/>
      <c r="H337" s="282"/>
      <c r="I337" s="281"/>
      <c r="J337" s="255"/>
      <c r="K337" s="83"/>
      <c r="L337" s="280"/>
      <c r="M337" s="279"/>
      <c r="N337" s="83"/>
      <c r="O337" s="164"/>
      <c r="P337" s="164"/>
      <c r="Q337" s="164"/>
      <c r="R337" s="87"/>
      <c r="S337" s="87"/>
      <c r="T337" s="87"/>
      <c r="U337" s="87"/>
      <c r="V337" s="87"/>
      <c r="W337" s="87"/>
      <c r="X337" s="87"/>
      <c r="Y337" s="87"/>
    </row>
    <row r="338" spans="2:25" ht="16.149999999999999" customHeight="1">
      <c r="B338" s="252"/>
      <c r="C338" s="268"/>
      <c r="D338" s="268"/>
      <c r="E338" s="260"/>
      <c r="F338" s="260"/>
      <c r="G338" s="256"/>
      <c r="H338" s="282"/>
      <c r="I338" s="281"/>
      <c r="J338" s="255"/>
      <c r="K338" s="83"/>
      <c r="L338" s="280"/>
      <c r="M338" s="279"/>
      <c r="N338" s="83"/>
      <c r="O338" s="164"/>
      <c r="P338" s="164"/>
      <c r="Q338" s="164"/>
      <c r="R338" s="87"/>
      <c r="S338" s="87"/>
      <c r="T338" s="87"/>
      <c r="U338" s="87"/>
      <c r="V338" s="87"/>
      <c r="W338" s="87"/>
      <c r="X338" s="87"/>
      <c r="Y338" s="87"/>
    </row>
    <row r="339" spans="2:25" ht="16.149999999999999" customHeight="1">
      <c r="B339" s="252"/>
      <c r="C339" s="268"/>
      <c r="D339" s="268"/>
      <c r="E339" s="260"/>
      <c r="F339" s="260"/>
      <c r="G339" s="256"/>
      <c r="H339" s="282"/>
      <c r="I339" s="281"/>
      <c r="J339" s="255"/>
      <c r="K339" s="83"/>
      <c r="L339" s="280"/>
      <c r="M339" s="279"/>
      <c r="N339" s="83"/>
      <c r="O339" s="164"/>
      <c r="P339" s="164"/>
      <c r="Q339" s="164"/>
      <c r="R339" s="87"/>
      <c r="S339" s="87"/>
      <c r="T339" s="87"/>
      <c r="U339" s="87"/>
      <c r="V339" s="87"/>
      <c r="W339" s="87"/>
      <c r="X339" s="87"/>
      <c r="Y339" s="87"/>
    </row>
    <row r="340" spans="2:25" ht="27" customHeight="1">
      <c r="B340" s="239" t="s">
        <v>585</v>
      </c>
      <c r="C340" s="268"/>
      <c r="D340" s="268"/>
      <c r="E340" s="260"/>
      <c r="F340" s="259"/>
      <c r="G340" s="259"/>
      <c r="H340" s="268"/>
      <c r="I340" s="268"/>
      <c r="J340" s="259"/>
      <c r="K340" s="268"/>
      <c r="L340" s="259"/>
      <c r="M340" s="268"/>
      <c r="N340" s="268"/>
      <c r="O340" s="52"/>
      <c r="P340" s="52"/>
      <c r="Q340" s="52"/>
      <c r="R340" s="87"/>
      <c r="S340" s="87"/>
      <c r="T340" s="87"/>
      <c r="U340" s="87"/>
      <c r="V340" s="87"/>
      <c r="W340" s="87"/>
      <c r="X340" s="87"/>
      <c r="Y340" s="87"/>
    </row>
    <row r="341" spans="2:25" ht="27" customHeight="1">
      <c r="B341" s="239" t="s">
        <v>586</v>
      </c>
      <c r="C341" s="268"/>
      <c r="D341" s="268"/>
      <c r="E341" s="260"/>
      <c r="F341" s="259"/>
      <c r="G341" s="259"/>
      <c r="H341" s="268"/>
      <c r="I341" s="268"/>
      <c r="J341" s="259"/>
      <c r="K341" s="268"/>
      <c r="L341" s="259"/>
      <c r="M341" s="268"/>
      <c r="N341" s="268"/>
      <c r="O341" s="52"/>
      <c r="P341" s="52"/>
      <c r="Q341" s="52"/>
      <c r="R341" s="87"/>
      <c r="S341" s="87"/>
      <c r="T341" s="87"/>
      <c r="U341" s="87"/>
      <c r="V341" s="87"/>
      <c r="W341" s="87"/>
      <c r="X341" s="87"/>
      <c r="Y341" s="87"/>
    </row>
    <row r="342" spans="2:25" ht="27" customHeight="1">
      <c r="B342" s="264"/>
      <c r="C342" s="263"/>
      <c r="D342" s="262"/>
      <c r="E342" s="263"/>
      <c r="F342" s="263"/>
      <c r="G342" s="263"/>
      <c r="H342" s="105" t="s">
        <v>7</v>
      </c>
      <c r="I342" s="71" t="s">
        <v>8</v>
      </c>
      <c r="J342" s="268"/>
      <c r="K342" s="20" t="s">
        <v>9</v>
      </c>
      <c r="L342" s="268"/>
      <c r="M342" s="431" t="s">
        <v>10</v>
      </c>
      <c r="N342" s="432"/>
      <c r="O342" s="199"/>
      <c r="P342" s="431" t="s">
        <v>914</v>
      </c>
      <c r="Q342" s="432"/>
      <c r="R342" s="87"/>
      <c r="S342" s="87"/>
      <c r="T342" s="87"/>
      <c r="U342" s="87"/>
      <c r="V342" s="87"/>
      <c r="W342" s="87"/>
      <c r="X342" s="87"/>
      <c r="Y342" s="87"/>
    </row>
    <row r="343" spans="2:25" ht="27" customHeight="1">
      <c r="B343" s="21" t="s">
        <v>11</v>
      </c>
      <c r="C343" s="20" t="s">
        <v>12</v>
      </c>
      <c r="D343" s="20" t="s">
        <v>13</v>
      </c>
      <c r="E343" s="21" t="s">
        <v>14</v>
      </c>
      <c r="F343" s="21" t="s">
        <v>15</v>
      </c>
      <c r="G343" s="22" t="s">
        <v>16</v>
      </c>
      <c r="H343" s="4" t="s">
        <v>17</v>
      </c>
      <c r="I343" s="190" t="s">
        <v>17</v>
      </c>
      <c r="J343" s="49"/>
      <c r="K343" s="189" t="s">
        <v>18</v>
      </c>
      <c r="L343" s="5"/>
      <c r="M343" s="109" t="s">
        <v>0</v>
      </c>
      <c r="N343" s="109" t="s">
        <v>1</v>
      </c>
      <c r="O343" s="5"/>
      <c r="P343" s="316" t="s">
        <v>0</v>
      </c>
      <c r="Q343" s="316" t="s">
        <v>1</v>
      </c>
      <c r="R343" s="87"/>
      <c r="S343" s="87"/>
      <c r="T343" s="87"/>
      <c r="U343" s="87"/>
      <c r="V343" s="87"/>
      <c r="W343" s="87"/>
      <c r="X343" s="87"/>
      <c r="Y343" s="87"/>
    </row>
    <row r="344" spans="2:25" ht="27" customHeight="1">
      <c r="B344" s="108" t="s">
        <v>587</v>
      </c>
      <c r="C344" s="107">
        <v>1</v>
      </c>
      <c r="D344" s="107">
        <v>15</v>
      </c>
      <c r="E344" s="16" t="s">
        <v>588</v>
      </c>
      <c r="F344" s="16" t="s">
        <v>514</v>
      </c>
      <c r="G344" s="25" t="s">
        <v>600</v>
      </c>
      <c r="H344" s="58" t="s">
        <v>48</v>
      </c>
      <c r="I344" s="186" t="s">
        <v>80</v>
      </c>
      <c r="J344" s="49"/>
      <c r="K344" s="163" t="s">
        <v>889</v>
      </c>
      <c r="L344" s="65"/>
      <c r="M344" s="15">
        <v>45481</v>
      </c>
      <c r="N344" s="9" t="s">
        <v>29</v>
      </c>
      <c r="O344" s="64"/>
      <c r="P344" s="291">
        <v>45481</v>
      </c>
      <c r="Q344" s="289">
        <v>0.72916666666666663</v>
      </c>
      <c r="R344" s="87"/>
      <c r="S344" s="87"/>
      <c r="T344" s="87"/>
      <c r="U344" s="87"/>
      <c r="V344" s="87"/>
      <c r="W344" s="87"/>
      <c r="X344" s="87"/>
      <c r="Y344" s="87"/>
    </row>
    <row r="345" spans="2:25" ht="27" customHeight="1">
      <c r="B345" s="320" t="s">
        <v>589</v>
      </c>
      <c r="C345" s="319">
        <v>1</v>
      </c>
      <c r="D345" s="319">
        <v>15</v>
      </c>
      <c r="E345" s="320" t="s">
        <v>590</v>
      </c>
      <c r="F345" s="321" t="s">
        <v>479</v>
      </c>
      <c r="G345" s="372" t="s">
        <v>600</v>
      </c>
      <c r="H345" s="322" t="s">
        <v>27</v>
      </c>
      <c r="I345" s="319" t="s">
        <v>313</v>
      </c>
      <c r="J345" s="5"/>
      <c r="K345" s="325" t="s">
        <v>891</v>
      </c>
      <c r="L345" s="13"/>
      <c r="M345" s="326">
        <v>45791</v>
      </c>
      <c r="N345" s="327" t="s">
        <v>213</v>
      </c>
      <c r="O345" s="13"/>
      <c r="P345" s="326" t="s">
        <v>192</v>
      </c>
      <c r="Q345" s="327" t="s">
        <v>192</v>
      </c>
      <c r="R345" s="87"/>
      <c r="S345" s="87"/>
      <c r="T345" s="87"/>
      <c r="U345" s="87"/>
      <c r="V345" s="87"/>
      <c r="W345" s="87"/>
      <c r="X345" s="87"/>
      <c r="Y345" s="87"/>
    </row>
    <row r="346" spans="2:25" ht="27" customHeight="1">
      <c r="B346" s="16" t="s">
        <v>591</v>
      </c>
      <c r="C346" s="18">
        <v>1</v>
      </c>
      <c r="D346" s="18">
        <v>15</v>
      </c>
      <c r="E346" s="16" t="s">
        <v>592</v>
      </c>
      <c r="F346" s="16" t="s">
        <v>471</v>
      </c>
      <c r="G346" s="25" t="s">
        <v>600</v>
      </c>
      <c r="H346" s="89" t="s">
        <v>36</v>
      </c>
      <c r="I346" s="186" t="s">
        <v>123</v>
      </c>
      <c r="J346" s="49"/>
      <c r="K346" s="163" t="s">
        <v>897</v>
      </c>
      <c r="L346" s="65"/>
      <c r="M346" s="285">
        <v>45479</v>
      </c>
      <c r="N346" s="18" t="s">
        <v>55</v>
      </c>
      <c r="O346" s="64"/>
      <c r="P346" s="166">
        <v>45479</v>
      </c>
      <c r="Q346" s="289">
        <v>0.72916666666666663</v>
      </c>
      <c r="R346" s="87"/>
      <c r="S346" s="87"/>
      <c r="T346" s="87"/>
      <c r="U346" s="87"/>
      <c r="V346" s="87"/>
      <c r="W346" s="87"/>
      <c r="X346" s="87"/>
      <c r="Y346" s="87"/>
    </row>
    <row r="347" spans="2:25" ht="27" customHeight="1">
      <c r="B347" s="320" t="s">
        <v>593</v>
      </c>
      <c r="C347" s="319">
        <v>1</v>
      </c>
      <c r="D347" s="319">
        <v>15</v>
      </c>
      <c r="E347" s="320" t="s">
        <v>594</v>
      </c>
      <c r="F347" s="321" t="s">
        <v>475</v>
      </c>
      <c r="G347" s="372" t="s">
        <v>600</v>
      </c>
      <c r="H347" s="322" t="s">
        <v>34</v>
      </c>
      <c r="I347" s="319" t="s">
        <v>96</v>
      </c>
      <c r="J347" s="5"/>
      <c r="K347" s="325" t="s">
        <v>898</v>
      </c>
      <c r="L347" s="13"/>
      <c r="M347" s="326">
        <v>46206</v>
      </c>
      <c r="N347" s="327" t="s">
        <v>55</v>
      </c>
      <c r="O347" s="13"/>
      <c r="P347" s="326">
        <v>46206</v>
      </c>
      <c r="Q347" s="327">
        <v>0.72916666666666663</v>
      </c>
      <c r="R347" s="87"/>
      <c r="S347" s="87"/>
      <c r="T347" s="87"/>
      <c r="U347" s="87"/>
      <c r="V347" s="87"/>
      <c r="W347" s="87"/>
      <c r="X347" s="87"/>
      <c r="Y347" s="87"/>
    </row>
    <row r="348" spans="2:25" ht="27" customHeight="1">
      <c r="B348" s="11" t="s">
        <v>595</v>
      </c>
      <c r="C348" s="9">
        <v>1</v>
      </c>
      <c r="D348" s="9">
        <v>10</v>
      </c>
      <c r="E348" s="11" t="s">
        <v>519</v>
      </c>
      <c r="F348" s="208" t="s">
        <v>402</v>
      </c>
      <c r="G348" s="25" t="s">
        <v>827</v>
      </c>
      <c r="H348" s="182" t="s">
        <v>31</v>
      </c>
      <c r="I348" s="186" t="s">
        <v>166</v>
      </c>
      <c r="J348" s="49"/>
      <c r="K348" s="23" t="s">
        <v>900</v>
      </c>
      <c r="L348" s="65"/>
      <c r="M348" s="287">
        <v>45840</v>
      </c>
      <c r="N348" s="23" t="s">
        <v>55</v>
      </c>
      <c r="O348" s="64"/>
      <c r="P348" s="295" t="s">
        <v>192</v>
      </c>
      <c r="Q348" s="295" t="s">
        <v>192</v>
      </c>
      <c r="R348" s="87"/>
      <c r="S348" s="87"/>
      <c r="T348" s="87"/>
      <c r="U348" s="87"/>
      <c r="V348" s="87"/>
      <c r="W348" s="87"/>
      <c r="X348" s="87"/>
      <c r="Y348" s="87"/>
    </row>
    <row r="349" spans="2:25" ht="27" customHeight="1">
      <c r="B349" s="320" t="s">
        <v>596</v>
      </c>
      <c r="C349" s="319">
        <v>1</v>
      </c>
      <c r="D349" s="319">
        <v>10</v>
      </c>
      <c r="E349" s="320" t="s">
        <v>521</v>
      </c>
      <c r="F349" s="321" t="s">
        <v>522</v>
      </c>
      <c r="G349" s="372" t="s">
        <v>828</v>
      </c>
      <c r="H349" s="322" t="s">
        <v>49</v>
      </c>
      <c r="I349" s="319" t="s">
        <v>217</v>
      </c>
      <c r="J349" s="5"/>
      <c r="K349" s="325" t="s">
        <v>901</v>
      </c>
      <c r="L349" s="13"/>
      <c r="M349" s="326">
        <v>45839</v>
      </c>
      <c r="N349" s="327" t="s">
        <v>29</v>
      </c>
      <c r="O349" s="13"/>
      <c r="P349" s="326" t="s">
        <v>192</v>
      </c>
      <c r="Q349" s="327" t="s">
        <v>192</v>
      </c>
      <c r="R349" s="87"/>
      <c r="S349" s="87"/>
      <c r="T349" s="87"/>
      <c r="U349" s="87"/>
      <c r="V349" s="87"/>
      <c r="W349" s="87"/>
      <c r="X349" s="87"/>
      <c r="Y349" s="87"/>
    </row>
    <row r="350" spans="2:25" ht="27" customHeight="1">
      <c r="B350" s="10" t="s">
        <v>597</v>
      </c>
      <c r="C350" s="18">
        <v>1</v>
      </c>
      <c r="D350" s="18">
        <v>5</v>
      </c>
      <c r="E350" s="16" t="s">
        <v>598</v>
      </c>
      <c r="F350" s="16" t="s">
        <v>599</v>
      </c>
      <c r="G350" s="25" t="s">
        <v>600</v>
      </c>
      <c r="H350" s="18" t="s">
        <v>192</v>
      </c>
      <c r="I350" s="60" t="s">
        <v>192</v>
      </c>
      <c r="J350" s="49"/>
      <c r="K350" s="45" t="s">
        <v>192</v>
      </c>
      <c r="L350" s="65"/>
      <c r="M350" s="18" t="s">
        <v>192</v>
      </c>
      <c r="N350" s="18" t="s">
        <v>192</v>
      </c>
      <c r="O350" s="64"/>
      <c r="P350" s="58" t="s">
        <v>246</v>
      </c>
      <c r="Q350" s="58" t="s">
        <v>246</v>
      </c>
      <c r="R350" s="87"/>
      <c r="S350" s="87"/>
      <c r="T350" s="87"/>
      <c r="U350" s="87"/>
      <c r="V350" s="87"/>
      <c r="W350" s="87"/>
      <c r="X350" s="87"/>
      <c r="Y350" s="87"/>
    </row>
    <row r="351" spans="2:25" ht="27" customHeight="1">
      <c r="B351" s="320" t="s">
        <v>601</v>
      </c>
      <c r="C351" s="319">
        <v>1</v>
      </c>
      <c r="D351" s="319">
        <v>5</v>
      </c>
      <c r="E351" s="320" t="s">
        <v>602</v>
      </c>
      <c r="F351" s="321" t="s">
        <v>599</v>
      </c>
      <c r="G351" s="372" t="s">
        <v>600</v>
      </c>
      <c r="H351" s="322" t="s">
        <v>192</v>
      </c>
      <c r="I351" s="319" t="s">
        <v>192</v>
      </c>
      <c r="J351" s="5"/>
      <c r="K351" s="325" t="s">
        <v>192</v>
      </c>
      <c r="L351" s="13"/>
      <c r="M351" s="326" t="s">
        <v>192</v>
      </c>
      <c r="N351" s="327" t="s">
        <v>192</v>
      </c>
      <c r="O351" s="13"/>
      <c r="P351" s="326" t="s">
        <v>246</v>
      </c>
      <c r="Q351" s="327" t="s">
        <v>246</v>
      </c>
      <c r="R351" s="87"/>
      <c r="S351" s="87"/>
      <c r="T351" s="87"/>
      <c r="U351" s="87"/>
      <c r="V351" s="87"/>
      <c r="W351" s="87"/>
      <c r="X351" s="87"/>
      <c r="Y351" s="87"/>
    </row>
    <row r="352" spans="2:25" ht="27" customHeight="1">
      <c r="B352" s="10" t="s">
        <v>603</v>
      </c>
      <c r="C352" s="18">
        <v>1</v>
      </c>
      <c r="D352" s="18">
        <v>10</v>
      </c>
      <c r="E352" s="16" t="s">
        <v>604</v>
      </c>
      <c r="F352" s="66" t="s">
        <v>599</v>
      </c>
      <c r="G352" s="25" t="s">
        <v>600</v>
      </c>
      <c r="H352" s="19"/>
      <c r="I352" s="60"/>
      <c r="J352" s="49"/>
      <c r="K352" s="45" t="s">
        <v>192</v>
      </c>
      <c r="L352" s="5"/>
      <c r="M352" s="18" t="s">
        <v>192</v>
      </c>
      <c r="N352" s="18" t="s">
        <v>192</v>
      </c>
      <c r="O352" s="64"/>
      <c r="P352" s="58" t="s">
        <v>246</v>
      </c>
      <c r="Q352" s="58" t="s">
        <v>246</v>
      </c>
      <c r="R352" s="87"/>
      <c r="S352" s="87"/>
      <c r="T352" s="87"/>
      <c r="U352" s="87"/>
      <c r="V352" s="87"/>
      <c r="W352" s="87"/>
      <c r="X352" s="87"/>
      <c r="Y352" s="87"/>
    </row>
    <row r="353" spans="2:28" ht="27" customHeight="1">
      <c r="B353" s="320" t="s">
        <v>605</v>
      </c>
      <c r="C353" s="319">
        <v>1</v>
      </c>
      <c r="D353" s="319">
        <v>5</v>
      </c>
      <c r="E353" s="320" t="s">
        <v>606</v>
      </c>
      <c r="F353" s="321" t="s">
        <v>599</v>
      </c>
      <c r="G353" s="372" t="s">
        <v>600</v>
      </c>
      <c r="H353" s="322" t="s">
        <v>192</v>
      </c>
      <c r="I353" s="319" t="s">
        <v>192</v>
      </c>
      <c r="J353" s="5"/>
      <c r="K353" s="325" t="s">
        <v>192</v>
      </c>
      <c r="L353" s="13"/>
      <c r="M353" s="326" t="s">
        <v>192</v>
      </c>
      <c r="N353" s="327" t="s">
        <v>192</v>
      </c>
      <c r="O353" s="13"/>
      <c r="P353" s="326" t="s">
        <v>246</v>
      </c>
      <c r="Q353" s="327" t="s">
        <v>246</v>
      </c>
      <c r="R353" s="87"/>
      <c r="S353" s="87"/>
      <c r="T353" s="87"/>
      <c r="U353" s="87"/>
      <c r="V353" s="87"/>
      <c r="W353" s="87"/>
      <c r="X353" s="87"/>
      <c r="Y353" s="87"/>
    </row>
    <row r="354" spans="2:28" ht="27" customHeight="1">
      <c r="B354" s="10" t="s">
        <v>607</v>
      </c>
      <c r="C354" s="18"/>
      <c r="D354" s="18">
        <v>5</v>
      </c>
      <c r="E354" s="16" t="s">
        <v>608</v>
      </c>
      <c r="F354" s="66" t="s">
        <v>599</v>
      </c>
      <c r="G354" s="240" t="s">
        <v>600</v>
      </c>
      <c r="H354" s="19"/>
      <c r="I354" s="60"/>
      <c r="J354" s="49"/>
      <c r="K354" s="45"/>
      <c r="L354" s="5"/>
      <c r="M354" s="18" t="s">
        <v>192</v>
      </c>
      <c r="N354" s="18" t="s">
        <v>192</v>
      </c>
      <c r="O354" s="64"/>
      <c r="P354" s="58" t="s">
        <v>246</v>
      </c>
      <c r="Q354" s="58" t="s">
        <v>246</v>
      </c>
      <c r="R354" s="87"/>
      <c r="S354" s="87"/>
      <c r="T354" s="87"/>
      <c r="U354" s="87"/>
      <c r="V354" s="87"/>
      <c r="W354" s="87"/>
      <c r="X354" s="87"/>
      <c r="Y354" s="87"/>
    </row>
    <row r="355" spans="2:28" ht="27" customHeight="1">
      <c r="B355" s="320" t="s">
        <v>609</v>
      </c>
      <c r="C355" s="319">
        <v>1</v>
      </c>
      <c r="D355" s="319">
        <v>30</v>
      </c>
      <c r="E355" s="320" t="s">
        <v>610</v>
      </c>
      <c r="F355" s="321" t="s">
        <v>599</v>
      </c>
      <c r="G355" s="372" t="s">
        <v>600</v>
      </c>
      <c r="H355" s="322" t="s">
        <v>192</v>
      </c>
      <c r="I355" s="319" t="s">
        <v>192</v>
      </c>
      <c r="J355" s="5"/>
      <c r="K355" s="325" t="s">
        <v>192</v>
      </c>
      <c r="L355" s="13"/>
      <c r="M355" s="326" t="s">
        <v>192</v>
      </c>
      <c r="N355" s="327" t="s">
        <v>192</v>
      </c>
      <c r="O355" s="13"/>
      <c r="P355" s="326" t="s">
        <v>246</v>
      </c>
      <c r="Q355" s="327" t="s">
        <v>246</v>
      </c>
      <c r="R355" s="87"/>
      <c r="S355" s="87"/>
      <c r="T355" s="87"/>
      <c r="U355" s="87"/>
      <c r="V355" s="87"/>
      <c r="W355" s="87"/>
      <c r="X355" s="87"/>
      <c r="Y355" s="87"/>
    </row>
    <row r="356" spans="2:28" ht="27" customHeight="1">
      <c r="B356" s="10" t="s">
        <v>611</v>
      </c>
      <c r="C356" s="18">
        <v>1</v>
      </c>
      <c r="D356" s="18">
        <v>0</v>
      </c>
      <c r="E356" s="16" t="s">
        <v>612</v>
      </c>
      <c r="F356" s="16" t="s">
        <v>599</v>
      </c>
      <c r="G356" s="240" t="s">
        <v>829</v>
      </c>
      <c r="H356" s="18" t="s">
        <v>192</v>
      </c>
      <c r="I356" s="60" t="s">
        <v>192</v>
      </c>
      <c r="J356" s="49"/>
      <c r="K356" s="45" t="s">
        <v>192</v>
      </c>
      <c r="L356" s="5"/>
      <c r="M356" s="18" t="s">
        <v>192</v>
      </c>
      <c r="N356" s="18" t="s">
        <v>192</v>
      </c>
      <c r="O356" s="64"/>
      <c r="P356" s="58" t="s">
        <v>246</v>
      </c>
      <c r="Q356" s="58" t="s">
        <v>246</v>
      </c>
      <c r="R356" s="87"/>
      <c r="S356" s="87"/>
      <c r="T356" s="87"/>
      <c r="U356" s="87"/>
      <c r="V356" s="87"/>
      <c r="W356" s="87"/>
      <c r="X356" s="87"/>
      <c r="Y356" s="87"/>
    </row>
    <row r="357" spans="2:28" ht="27" customHeight="1">
      <c r="B357" s="320" t="s">
        <v>613</v>
      </c>
      <c r="C357" s="319">
        <v>1</v>
      </c>
      <c r="D357" s="319">
        <v>50</v>
      </c>
      <c r="E357" s="320" t="s">
        <v>614</v>
      </c>
      <c r="F357" s="321" t="s">
        <v>599</v>
      </c>
      <c r="G357" s="372" t="s">
        <v>830</v>
      </c>
      <c r="H357" s="322" t="s">
        <v>192</v>
      </c>
      <c r="I357" s="319" t="s">
        <v>192</v>
      </c>
      <c r="J357" s="5"/>
      <c r="K357" s="325" t="s">
        <v>192</v>
      </c>
      <c r="L357" s="13"/>
      <c r="M357" s="326" t="s">
        <v>192</v>
      </c>
      <c r="N357" s="327" t="s">
        <v>192</v>
      </c>
      <c r="O357" s="13"/>
      <c r="P357" s="326" t="s">
        <v>246</v>
      </c>
      <c r="Q357" s="327" t="s">
        <v>246</v>
      </c>
      <c r="R357" s="87"/>
      <c r="S357" s="87"/>
      <c r="T357" s="87"/>
      <c r="U357" s="87"/>
      <c r="V357" s="87"/>
      <c r="W357" s="87"/>
      <c r="X357" s="87"/>
      <c r="Y357" s="87"/>
    </row>
    <row r="358" spans="2:28" ht="27" customHeight="1">
      <c r="B358" s="10" t="s">
        <v>615</v>
      </c>
      <c r="C358" s="18">
        <v>1</v>
      </c>
      <c r="D358" s="18">
        <v>50</v>
      </c>
      <c r="E358" s="16" t="s">
        <v>616</v>
      </c>
      <c r="F358" s="16" t="s">
        <v>599</v>
      </c>
      <c r="G358" s="25" t="s">
        <v>831</v>
      </c>
      <c r="H358" s="18" t="s">
        <v>192</v>
      </c>
      <c r="I358" s="60" t="s">
        <v>192</v>
      </c>
      <c r="J358" s="49"/>
      <c r="K358" s="45" t="s">
        <v>192</v>
      </c>
      <c r="L358" s="5"/>
      <c r="M358" s="18" t="s">
        <v>192</v>
      </c>
      <c r="N358" s="18" t="s">
        <v>192</v>
      </c>
      <c r="O358" s="64"/>
      <c r="P358" s="58" t="s">
        <v>246</v>
      </c>
      <c r="Q358" s="58" t="s">
        <v>246</v>
      </c>
      <c r="R358" s="87"/>
      <c r="S358" s="87"/>
      <c r="T358" s="87"/>
      <c r="U358" s="87"/>
      <c r="V358" s="87"/>
      <c r="W358" s="87"/>
      <c r="X358" s="87"/>
      <c r="Y358" s="87"/>
    </row>
    <row r="359" spans="2:28" ht="27" customHeight="1">
      <c r="B359" s="320" t="s">
        <v>617</v>
      </c>
      <c r="C359" s="319">
        <v>1</v>
      </c>
      <c r="D359" s="319">
        <v>50</v>
      </c>
      <c r="E359" s="320" t="s">
        <v>618</v>
      </c>
      <c r="F359" s="321" t="s">
        <v>599</v>
      </c>
      <c r="G359" s="372" t="s">
        <v>832</v>
      </c>
      <c r="H359" s="322" t="s">
        <v>192</v>
      </c>
      <c r="I359" s="319" t="s">
        <v>192</v>
      </c>
      <c r="J359" s="5"/>
      <c r="K359" s="325" t="s">
        <v>192</v>
      </c>
      <c r="L359" s="13"/>
      <c r="M359" s="326" t="s">
        <v>192</v>
      </c>
      <c r="N359" s="327" t="s">
        <v>192</v>
      </c>
      <c r="O359" s="13"/>
      <c r="P359" s="326" t="s">
        <v>246</v>
      </c>
      <c r="Q359" s="327" t="s">
        <v>246</v>
      </c>
      <c r="R359" s="87"/>
      <c r="S359" s="87"/>
      <c r="T359" s="87"/>
      <c r="U359" s="87"/>
      <c r="V359" s="87"/>
      <c r="W359" s="87"/>
      <c r="X359" s="87"/>
      <c r="Y359" s="87"/>
    </row>
    <row r="360" spans="2:28" ht="27" customHeight="1">
      <c r="B360" s="10" t="s">
        <v>619</v>
      </c>
      <c r="C360" s="18">
        <v>1</v>
      </c>
      <c r="D360" s="18">
        <v>50</v>
      </c>
      <c r="E360" s="16" t="s">
        <v>620</v>
      </c>
      <c r="F360" s="16" t="s">
        <v>599</v>
      </c>
      <c r="G360" s="25" t="s">
        <v>833</v>
      </c>
      <c r="H360" s="18" t="s">
        <v>192</v>
      </c>
      <c r="I360" s="27" t="s">
        <v>192</v>
      </c>
      <c r="J360" s="49"/>
      <c r="K360" s="19" t="s">
        <v>192</v>
      </c>
      <c r="L360" s="5"/>
      <c r="M360" s="18" t="s">
        <v>192</v>
      </c>
      <c r="N360" s="18" t="s">
        <v>192</v>
      </c>
      <c r="O360" s="64"/>
      <c r="P360" s="58" t="s">
        <v>246</v>
      </c>
      <c r="Q360" s="58" t="s">
        <v>246</v>
      </c>
      <c r="R360" s="87"/>
      <c r="S360" s="87"/>
      <c r="T360" s="87"/>
      <c r="U360" s="87"/>
      <c r="V360" s="87"/>
      <c r="W360" s="87"/>
      <c r="X360" s="87"/>
      <c r="Y360" s="87"/>
    </row>
    <row r="361" spans="2:28" ht="27" customHeight="1">
      <c r="B361" s="320" t="s">
        <v>621</v>
      </c>
      <c r="C361" s="319">
        <v>1</v>
      </c>
      <c r="D361" s="319">
        <v>0</v>
      </c>
      <c r="E361" s="320" t="s">
        <v>622</v>
      </c>
      <c r="F361" s="321" t="s">
        <v>599</v>
      </c>
      <c r="G361" s="372" t="s">
        <v>600</v>
      </c>
      <c r="H361" s="322" t="s">
        <v>192</v>
      </c>
      <c r="I361" s="319" t="s">
        <v>192</v>
      </c>
      <c r="J361" s="5"/>
      <c r="K361" s="325" t="s">
        <v>192</v>
      </c>
      <c r="L361" s="13"/>
      <c r="M361" s="326" t="s">
        <v>192</v>
      </c>
      <c r="N361" s="327" t="s">
        <v>192</v>
      </c>
      <c r="O361" s="13"/>
      <c r="P361" s="326" t="s">
        <v>246</v>
      </c>
      <c r="Q361" s="327" t="s">
        <v>246</v>
      </c>
      <c r="R361" s="87"/>
      <c r="S361" s="87"/>
      <c r="T361" s="87"/>
      <c r="U361" s="87"/>
      <c r="V361" s="87"/>
      <c r="W361" s="87"/>
      <c r="X361" s="87"/>
      <c r="Y361" s="87"/>
    </row>
    <row r="362" spans="2:28" ht="27" customHeight="1">
      <c r="B362" s="10" t="s">
        <v>623</v>
      </c>
      <c r="C362" s="18">
        <v>1</v>
      </c>
      <c r="D362" s="18">
        <v>0</v>
      </c>
      <c r="E362" s="16" t="s">
        <v>624</v>
      </c>
      <c r="F362" s="16" t="s">
        <v>599</v>
      </c>
      <c r="G362" s="25" t="s">
        <v>600</v>
      </c>
      <c r="H362" s="18" t="s">
        <v>192</v>
      </c>
      <c r="I362" s="27" t="s">
        <v>192</v>
      </c>
      <c r="J362" s="49"/>
      <c r="K362" s="19" t="s">
        <v>192</v>
      </c>
      <c r="L362" s="5"/>
      <c r="M362" s="18" t="s">
        <v>192</v>
      </c>
      <c r="N362" s="18" t="s">
        <v>192</v>
      </c>
      <c r="O362" s="64"/>
      <c r="P362" s="58" t="s">
        <v>246</v>
      </c>
      <c r="Q362" s="58" t="s">
        <v>246</v>
      </c>
      <c r="R362" s="87"/>
      <c r="S362" s="87"/>
      <c r="T362" s="87"/>
      <c r="U362" s="87"/>
      <c r="V362" s="87"/>
      <c r="W362" s="87"/>
      <c r="X362" s="87"/>
      <c r="Y362" s="87"/>
    </row>
    <row r="363" spans="2:28" ht="27" customHeight="1">
      <c r="B363" s="320" t="s">
        <v>625</v>
      </c>
      <c r="C363" s="319">
        <v>1</v>
      </c>
      <c r="D363" s="319">
        <v>0</v>
      </c>
      <c r="E363" s="320" t="s">
        <v>626</v>
      </c>
      <c r="F363" s="321" t="s">
        <v>599</v>
      </c>
      <c r="G363" s="372" t="s">
        <v>600</v>
      </c>
      <c r="H363" s="322" t="s">
        <v>192</v>
      </c>
      <c r="I363" s="319" t="s">
        <v>192</v>
      </c>
      <c r="J363" s="5"/>
      <c r="K363" s="325" t="s">
        <v>192</v>
      </c>
      <c r="L363" s="13"/>
      <c r="M363" s="326" t="s">
        <v>192</v>
      </c>
      <c r="N363" s="327" t="s">
        <v>192</v>
      </c>
      <c r="O363" s="13"/>
      <c r="P363" s="326" t="s">
        <v>246</v>
      </c>
      <c r="Q363" s="327" t="s">
        <v>246</v>
      </c>
      <c r="R363" s="87"/>
      <c r="S363" s="87"/>
      <c r="T363" s="87"/>
      <c r="U363" s="87"/>
      <c r="V363" s="87"/>
      <c r="W363" s="87"/>
      <c r="X363" s="87"/>
      <c r="Y363" s="87"/>
    </row>
    <row r="364" spans="2:28" ht="27" customHeight="1">
      <c r="B364" s="122" t="s">
        <v>627</v>
      </c>
      <c r="C364" s="18">
        <v>1</v>
      </c>
      <c r="D364" s="18">
        <v>10</v>
      </c>
      <c r="E364" s="16" t="s">
        <v>628</v>
      </c>
      <c r="F364" s="16" t="s">
        <v>599</v>
      </c>
      <c r="G364" s="10" t="s">
        <v>600</v>
      </c>
      <c r="H364" s="18" t="s">
        <v>192</v>
      </c>
      <c r="I364" s="27" t="s">
        <v>192</v>
      </c>
      <c r="J364" s="49"/>
      <c r="K364" s="373" t="s">
        <v>192</v>
      </c>
      <c r="L364" s="5"/>
      <c r="M364" s="18" t="s">
        <v>192</v>
      </c>
      <c r="N364" s="18" t="s">
        <v>192</v>
      </c>
      <c r="O364" s="64"/>
      <c r="P364" s="58" t="s">
        <v>246</v>
      </c>
      <c r="Q364" s="58" t="s">
        <v>246</v>
      </c>
      <c r="R364" s="87"/>
      <c r="S364" s="87"/>
      <c r="T364" s="87"/>
      <c r="U364" s="87"/>
      <c r="V364" s="87"/>
      <c r="W364" s="87"/>
      <c r="X364" s="87"/>
      <c r="Y364" s="87"/>
    </row>
    <row r="365" spans="2:28" ht="27" customHeight="1">
      <c r="B365" s="320" t="s">
        <v>629</v>
      </c>
      <c r="C365" s="319">
        <v>1</v>
      </c>
      <c r="D365" s="319">
        <v>0</v>
      </c>
      <c r="E365" s="320" t="s">
        <v>630</v>
      </c>
      <c r="F365" s="321" t="s">
        <v>599</v>
      </c>
      <c r="G365" s="372" t="s">
        <v>600</v>
      </c>
      <c r="H365" s="322" t="s">
        <v>192</v>
      </c>
      <c r="I365" s="319" t="s">
        <v>192</v>
      </c>
      <c r="J365" s="64"/>
      <c r="K365" s="358" t="s">
        <v>192</v>
      </c>
      <c r="L365" s="206"/>
      <c r="M365" s="326" t="s">
        <v>192</v>
      </c>
      <c r="N365" s="327" t="s">
        <v>192</v>
      </c>
      <c r="O365" s="13"/>
      <c r="P365" s="326" t="s">
        <v>246</v>
      </c>
      <c r="Q365" s="327" t="s">
        <v>246</v>
      </c>
      <c r="R365" s="87"/>
      <c r="S365" s="87"/>
      <c r="T365" s="87"/>
      <c r="U365" s="87"/>
      <c r="V365" s="87"/>
      <c r="W365" s="87"/>
      <c r="X365" s="87"/>
      <c r="Y365" s="87"/>
    </row>
    <row r="366" spans="2:28" s="88" customFormat="1" ht="27" customHeight="1">
      <c r="B366" s="278"/>
      <c r="C366" s="268"/>
      <c r="D366" s="268"/>
      <c r="E366" s="278"/>
      <c r="F366" s="260"/>
      <c r="G366" s="259"/>
      <c r="H366" s="268"/>
      <c r="I366" s="268"/>
      <c r="J366" s="255"/>
      <c r="K366" s="268"/>
      <c r="L366" s="255"/>
      <c r="M366" s="268"/>
      <c r="N366" s="268"/>
      <c r="O366" s="52"/>
      <c r="P366" s="52"/>
      <c r="Q366" s="52"/>
      <c r="R366" s="87"/>
      <c r="S366" s="87"/>
      <c r="T366" s="87"/>
      <c r="U366" s="87"/>
      <c r="V366" s="87"/>
      <c r="W366" s="87"/>
      <c r="X366" s="87"/>
      <c r="Y366" s="87"/>
      <c r="Z366" s="123"/>
      <c r="AA366" s="123"/>
      <c r="AB366" s="123"/>
    </row>
    <row r="367" spans="2:28" s="88" customFormat="1" ht="27" customHeight="1">
      <c r="B367" s="278"/>
      <c r="C367" s="268"/>
      <c r="D367" s="268"/>
      <c r="E367" s="278"/>
      <c r="F367" s="260"/>
      <c r="G367" s="259"/>
      <c r="H367" s="268"/>
      <c r="I367" s="268"/>
      <c r="J367" s="255"/>
      <c r="K367" s="268"/>
      <c r="L367" s="255"/>
      <c r="M367" s="268"/>
      <c r="N367" s="268"/>
      <c r="O367" s="52"/>
      <c r="P367" s="52"/>
      <c r="Q367" s="52"/>
      <c r="R367" s="87"/>
      <c r="S367" s="87"/>
      <c r="T367" s="87"/>
      <c r="U367" s="87"/>
      <c r="V367" s="87"/>
      <c r="W367" s="87"/>
      <c r="X367" s="87"/>
      <c r="Y367" s="87"/>
      <c r="Z367" s="123"/>
      <c r="AA367" s="123"/>
      <c r="AB367" s="123"/>
    </row>
    <row r="368" spans="2:28" s="88" customFormat="1" ht="27" customHeight="1">
      <c r="B368" s="266" t="s">
        <v>631</v>
      </c>
      <c r="C368" s="263"/>
      <c r="D368" s="262"/>
      <c r="E368" s="260"/>
      <c r="F368" s="259"/>
      <c r="G368" s="259"/>
      <c r="H368" s="268"/>
      <c r="I368" s="262"/>
      <c r="J368" s="268"/>
      <c r="K368" s="277"/>
      <c r="L368" s="270"/>
      <c r="M368" s="267"/>
      <c r="N368" s="277"/>
      <c r="O368" s="52"/>
      <c r="P368" s="52"/>
      <c r="Q368" s="52"/>
      <c r="R368" s="87"/>
      <c r="S368" s="87"/>
      <c r="T368" s="87"/>
      <c r="U368" s="87"/>
      <c r="V368" s="87"/>
      <c r="W368" s="87"/>
      <c r="X368" s="87"/>
      <c r="Y368" s="87"/>
      <c r="Z368" s="123"/>
      <c r="AA368" s="123"/>
      <c r="AB368" s="123"/>
    </row>
    <row r="369" spans="2:25" ht="24.75" customHeight="1">
      <c r="B369" s="264"/>
      <c r="C369" s="263"/>
      <c r="D369" s="262"/>
      <c r="E369" s="263"/>
      <c r="F369" s="263"/>
      <c r="G369" s="263"/>
      <c r="H369" s="105" t="s">
        <v>7</v>
      </c>
      <c r="I369" s="71" t="s">
        <v>8</v>
      </c>
      <c r="J369" s="268"/>
      <c r="K369" s="20" t="s">
        <v>9</v>
      </c>
      <c r="L369" s="268"/>
      <c r="M369" s="431" t="s">
        <v>10</v>
      </c>
      <c r="N369" s="432"/>
      <c r="O369" s="52"/>
      <c r="P369" s="52"/>
      <c r="Q369" s="52"/>
      <c r="R369" s="87"/>
      <c r="S369" s="87"/>
      <c r="T369" s="87"/>
      <c r="U369" s="87"/>
      <c r="V369" s="87"/>
      <c r="W369" s="87"/>
      <c r="X369" s="87"/>
      <c r="Y369" s="87"/>
    </row>
    <row r="370" spans="2:25" ht="27" customHeight="1">
      <c r="B370" s="21" t="s">
        <v>11</v>
      </c>
      <c r="C370" s="20" t="s">
        <v>12</v>
      </c>
      <c r="D370" s="105" t="s">
        <v>13</v>
      </c>
      <c r="E370" s="159" t="s">
        <v>14</v>
      </c>
      <c r="F370" s="159" t="s">
        <v>15</v>
      </c>
      <c r="G370" s="175" t="s">
        <v>16</v>
      </c>
      <c r="H370" s="4" t="s">
        <v>17</v>
      </c>
      <c r="I370" s="4" t="s">
        <v>17</v>
      </c>
      <c r="J370" s="5"/>
      <c r="K370" s="20" t="s">
        <v>18</v>
      </c>
      <c r="L370" s="5"/>
      <c r="M370" s="109" t="s">
        <v>0</v>
      </c>
      <c r="N370" s="109" t="s">
        <v>1</v>
      </c>
      <c r="O370" s="79"/>
      <c r="P370" s="79"/>
      <c r="Q370" s="79"/>
      <c r="R370" s="87"/>
      <c r="S370" s="87"/>
      <c r="T370" s="87"/>
      <c r="U370" s="87"/>
      <c r="V370" s="87"/>
      <c r="W370" s="87"/>
      <c r="X370" s="87"/>
      <c r="Y370" s="87"/>
    </row>
    <row r="371" spans="2:25" ht="27" customHeight="1">
      <c r="B371" s="8" t="s">
        <v>632</v>
      </c>
      <c r="C371" s="9">
        <v>1</v>
      </c>
      <c r="D371" s="60">
        <v>10</v>
      </c>
      <c r="E371" s="44" t="s">
        <v>633</v>
      </c>
      <c r="F371" s="42" t="s">
        <v>634</v>
      </c>
      <c r="G371" s="25" t="s">
        <v>635</v>
      </c>
      <c r="H371" s="9" t="s">
        <v>44</v>
      </c>
      <c r="I371" s="9" t="s">
        <v>636</v>
      </c>
      <c r="J371" s="5"/>
      <c r="K371" s="198" t="s">
        <v>917</v>
      </c>
      <c r="L371" s="5"/>
      <c r="M371" s="305">
        <v>45474</v>
      </c>
      <c r="N371" s="18" t="s">
        <v>213</v>
      </c>
      <c r="O371" s="52"/>
      <c r="P371" s="52"/>
      <c r="Q371" s="52"/>
      <c r="R371" s="87"/>
      <c r="S371" s="87"/>
      <c r="T371" s="87"/>
      <c r="U371" s="87"/>
      <c r="V371" s="87"/>
      <c r="W371" s="87"/>
      <c r="X371" s="87"/>
      <c r="Y371" s="87"/>
    </row>
    <row r="372" spans="2:25" ht="27" customHeight="1">
      <c r="B372" s="8" t="s">
        <v>632</v>
      </c>
      <c r="C372" s="9">
        <v>2</v>
      </c>
      <c r="D372" s="60">
        <v>10</v>
      </c>
      <c r="E372" s="44" t="s">
        <v>633</v>
      </c>
      <c r="F372" s="42" t="s">
        <v>637</v>
      </c>
      <c r="G372" s="25" t="s">
        <v>635</v>
      </c>
      <c r="H372" s="9" t="s">
        <v>44</v>
      </c>
      <c r="I372" s="9" t="s">
        <v>638</v>
      </c>
      <c r="J372" s="5"/>
      <c r="K372" s="198" t="s">
        <v>917</v>
      </c>
      <c r="L372" s="5"/>
      <c r="M372" s="305">
        <v>45474</v>
      </c>
      <c r="N372" s="18" t="s">
        <v>213</v>
      </c>
      <c r="O372" s="52"/>
      <c r="P372" s="52"/>
      <c r="Q372" s="52"/>
      <c r="R372" s="87"/>
      <c r="S372" s="87"/>
      <c r="T372" s="87"/>
      <c r="U372" s="87"/>
      <c r="V372" s="87"/>
      <c r="W372" s="87"/>
      <c r="X372" s="87"/>
      <c r="Y372" s="87"/>
    </row>
    <row r="373" spans="2:25" ht="27" customHeight="1">
      <c r="B373" s="63" t="s">
        <v>632</v>
      </c>
      <c r="C373" s="9">
        <f>+C372+1</f>
        <v>3</v>
      </c>
      <c r="D373" s="198">
        <v>10</v>
      </c>
      <c r="E373" s="202" t="s">
        <v>633</v>
      </c>
      <c r="F373" s="42" t="s">
        <v>639</v>
      </c>
      <c r="G373" s="238" t="s">
        <v>640</v>
      </c>
      <c r="H373" s="9" t="s">
        <v>44</v>
      </c>
      <c r="I373" s="9" t="s">
        <v>636</v>
      </c>
      <c r="J373" s="28"/>
      <c r="K373" s="198" t="s">
        <v>917</v>
      </c>
      <c r="L373" s="28"/>
      <c r="M373" s="305">
        <v>45474</v>
      </c>
      <c r="N373" s="18" t="s">
        <v>213</v>
      </c>
      <c r="O373" s="52"/>
      <c r="P373" s="52"/>
      <c r="Q373" s="52"/>
      <c r="R373" s="132"/>
      <c r="S373" s="132"/>
      <c r="T373" s="132"/>
      <c r="U373" s="132"/>
      <c r="V373" s="132"/>
      <c r="W373" s="132"/>
      <c r="X373" s="132"/>
      <c r="Y373" s="132"/>
    </row>
    <row r="374" spans="2:25" ht="27" customHeight="1">
      <c r="B374" s="63" t="s">
        <v>632</v>
      </c>
      <c r="C374" s="9">
        <f>+C373+1</f>
        <v>4</v>
      </c>
      <c r="D374" s="198">
        <v>10</v>
      </c>
      <c r="E374" s="202" t="s">
        <v>633</v>
      </c>
      <c r="F374" s="42" t="s">
        <v>641</v>
      </c>
      <c r="G374" s="238" t="s">
        <v>640</v>
      </c>
      <c r="H374" s="9" t="s">
        <v>44</v>
      </c>
      <c r="I374" s="9" t="s">
        <v>638</v>
      </c>
      <c r="J374" s="28"/>
      <c r="K374" s="198" t="s">
        <v>917</v>
      </c>
      <c r="L374" s="28"/>
      <c r="M374" s="305">
        <v>45474</v>
      </c>
      <c r="N374" s="18" t="s">
        <v>213</v>
      </c>
      <c r="O374" s="52"/>
      <c r="P374" s="52"/>
      <c r="Q374" s="52"/>
      <c r="R374" s="132"/>
      <c r="S374" s="132"/>
      <c r="T374" s="132"/>
      <c r="U374" s="132"/>
      <c r="V374" s="132"/>
      <c r="W374" s="132"/>
      <c r="X374" s="132"/>
      <c r="Y374" s="132"/>
    </row>
    <row r="375" spans="2:25" ht="27" customHeight="1">
      <c r="B375" s="8" t="s">
        <v>632</v>
      </c>
      <c r="C375" s="9">
        <v>5</v>
      </c>
      <c r="D375" s="60">
        <v>10</v>
      </c>
      <c r="E375" s="44" t="s">
        <v>633</v>
      </c>
      <c r="F375" s="241" t="s">
        <v>642</v>
      </c>
      <c r="G375" s="176" t="s">
        <v>26</v>
      </c>
      <c r="H375" s="9" t="s">
        <v>38</v>
      </c>
      <c r="I375" s="9" t="s">
        <v>636</v>
      </c>
      <c r="J375" s="5"/>
      <c r="K375" s="198" t="s">
        <v>917</v>
      </c>
      <c r="L375" s="5"/>
      <c r="M375" s="305">
        <v>45474</v>
      </c>
      <c r="N375" s="18" t="s">
        <v>213</v>
      </c>
      <c r="O375" s="52"/>
      <c r="P375" s="52"/>
      <c r="Q375" s="52"/>
      <c r="R375" s="134"/>
      <c r="S375" s="134"/>
      <c r="T375" s="134"/>
      <c r="U375" s="134"/>
      <c r="V375" s="134"/>
      <c r="W375" s="134"/>
      <c r="X375" s="134"/>
      <c r="Y375" s="134"/>
    </row>
    <row r="376" spans="2:25" ht="27" customHeight="1">
      <c r="B376" s="8" t="s">
        <v>632</v>
      </c>
      <c r="C376" s="9">
        <f t="shared" ref="C376:C383" si="0">+C375+1</f>
        <v>6</v>
      </c>
      <c r="D376" s="60">
        <v>10</v>
      </c>
      <c r="E376" s="44" t="s">
        <v>633</v>
      </c>
      <c r="F376" s="44" t="s">
        <v>380</v>
      </c>
      <c r="G376" s="176" t="s">
        <v>643</v>
      </c>
      <c r="H376" s="9" t="s">
        <v>47</v>
      </c>
      <c r="I376" s="9" t="s">
        <v>644</v>
      </c>
      <c r="J376" s="5"/>
      <c r="K376" s="198" t="s">
        <v>917</v>
      </c>
      <c r="L376" s="5"/>
      <c r="M376" s="305">
        <v>45474</v>
      </c>
      <c r="N376" s="18" t="s">
        <v>213</v>
      </c>
      <c r="O376" s="52"/>
      <c r="P376" s="52"/>
      <c r="Q376" s="52"/>
      <c r="R376" s="87"/>
      <c r="S376" s="87"/>
      <c r="T376" s="87"/>
      <c r="U376" s="87"/>
      <c r="V376" s="87"/>
      <c r="W376" s="87"/>
      <c r="X376" s="87"/>
      <c r="Y376" s="87"/>
    </row>
    <row r="377" spans="2:25" ht="27" customHeight="1">
      <c r="B377" s="8" t="s">
        <v>632</v>
      </c>
      <c r="C377" s="9">
        <f t="shared" si="0"/>
        <v>7</v>
      </c>
      <c r="D377" s="60">
        <v>10</v>
      </c>
      <c r="E377" s="44" t="s">
        <v>633</v>
      </c>
      <c r="F377" s="42" t="s">
        <v>645</v>
      </c>
      <c r="G377" s="176" t="s">
        <v>646</v>
      </c>
      <c r="H377" s="9" t="s">
        <v>647</v>
      </c>
      <c r="I377" s="9" t="s">
        <v>648</v>
      </c>
      <c r="J377" s="5"/>
      <c r="K377" s="198" t="s">
        <v>917</v>
      </c>
      <c r="L377" s="5"/>
      <c r="M377" s="305">
        <v>45474</v>
      </c>
      <c r="N377" s="18" t="s">
        <v>213</v>
      </c>
      <c r="O377" s="74"/>
      <c r="P377" s="74"/>
      <c r="Q377" s="74"/>
      <c r="R377" s="87"/>
      <c r="S377" s="87"/>
      <c r="T377" s="87"/>
      <c r="U377" s="87"/>
      <c r="V377" s="87"/>
      <c r="W377" s="87"/>
      <c r="X377" s="87"/>
      <c r="Y377" s="87"/>
    </row>
    <row r="378" spans="2:25" ht="27" customHeight="1">
      <c r="B378" s="8" t="s">
        <v>632</v>
      </c>
      <c r="C378" s="9">
        <f t="shared" si="0"/>
        <v>8</v>
      </c>
      <c r="D378" s="60">
        <v>10</v>
      </c>
      <c r="E378" s="44" t="s">
        <v>633</v>
      </c>
      <c r="F378" s="42" t="s">
        <v>649</v>
      </c>
      <c r="G378" s="176" t="s">
        <v>646</v>
      </c>
      <c r="H378" s="9" t="s">
        <v>647</v>
      </c>
      <c r="I378" s="9" t="s">
        <v>648</v>
      </c>
      <c r="J378" s="5"/>
      <c r="K378" s="198" t="s">
        <v>917</v>
      </c>
      <c r="L378" s="5"/>
      <c r="M378" s="305">
        <v>45474</v>
      </c>
      <c r="N378" s="18" t="s">
        <v>213</v>
      </c>
      <c r="O378" s="74"/>
      <c r="P378" s="74"/>
      <c r="Q378" s="74"/>
      <c r="R378" s="87"/>
      <c r="S378" s="87"/>
      <c r="T378" s="87"/>
      <c r="U378" s="87"/>
      <c r="V378" s="87"/>
      <c r="W378" s="87"/>
      <c r="X378" s="87"/>
      <c r="Y378" s="87"/>
    </row>
    <row r="379" spans="2:25" ht="27" customHeight="1">
      <c r="B379" s="8" t="s">
        <v>632</v>
      </c>
      <c r="C379" s="9">
        <f t="shared" si="0"/>
        <v>9</v>
      </c>
      <c r="D379" s="60">
        <v>10</v>
      </c>
      <c r="E379" s="44" t="s">
        <v>633</v>
      </c>
      <c r="F379" s="42" t="s">
        <v>819</v>
      </c>
      <c r="G379" s="176" t="s">
        <v>646</v>
      </c>
      <c r="H379" s="9" t="s">
        <v>647</v>
      </c>
      <c r="I379" s="9" t="s">
        <v>648</v>
      </c>
      <c r="J379" s="5"/>
      <c r="K379" s="198" t="s">
        <v>917</v>
      </c>
      <c r="L379" s="5"/>
      <c r="M379" s="305">
        <v>45474</v>
      </c>
      <c r="N379" s="18" t="s">
        <v>213</v>
      </c>
      <c r="O379" s="74"/>
      <c r="P379" s="74"/>
      <c r="Q379" s="74"/>
      <c r="R379" s="87"/>
      <c r="S379" s="87"/>
      <c r="T379" s="87"/>
      <c r="U379" s="87"/>
      <c r="V379" s="87"/>
      <c r="W379" s="87"/>
      <c r="X379" s="87"/>
      <c r="Y379" s="87"/>
    </row>
    <row r="380" spans="2:25" ht="27" customHeight="1">
      <c r="B380" s="8" t="s">
        <v>632</v>
      </c>
      <c r="C380" s="9">
        <f t="shared" si="0"/>
        <v>10</v>
      </c>
      <c r="D380" s="60">
        <v>10</v>
      </c>
      <c r="E380" s="44" t="s">
        <v>633</v>
      </c>
      <c r="F380" s="42" t="s">
        <v>650</v>
      </c>
      <c r="G380" s="176" t="s">
        <v>646</v>
      </c>
      <c r="H380" s="9" t="s">
        <v>647</v>
      </c>
      <c r="I380" s="9" t="s">
        <v>648</v>
      </c>
      <c r="J380" s="5"/>
      <c r="K380" s="198" t="s">
        <v>917</v>
      </c>
      <c r="L380" s="5"/>
      <c r="M380" s="305">
        <v>45474</v>
      </c>
      <c r="N380" s="18" t="s">
        <v>213</v>
      </c>
      <c r="O380" s="74"/>
      <c r="P380" s="74"/>
      <c r="Q380" s="74"/>
      <c r="R380" s="87"/>
      <c r="S380" s="87"/>
      <c r="T380" s="87"/>
      <c r="U380" s="87"/>
      <c r="V380" s="87"/>
      <c r="W380" s="87"/>
      <c r="X380" s="87"/>
      <c r="Y380" s="87"/>
    </row>
    <row r="381" spans="2:25" ht="27" customHeight="1">
      <c r="B381" s="8" t="s">
        <v>632</v>
      </c>
      <c r="C381" s="9">
        <f t="shared" si="0"/>
        <v>11</v>
      </c>
      <c r="D381" s="60">
        <v>10</v>
      </c>
      <c r="E381" s="44" t="s">
        <v>633</v>
      </c>
      <c r="F381" s="42" t="s">
        <v>651</v>
      </c>
      <c r="G381" s="176" t="s">
        <v>646</v>
      </c>
      <c r="H381" s="9" t="s">
        <v>647</v>
      </c>
      <c r="I381" s="9" t="s">
        <v>648</v>
      </c>
      <c r="J381" s="5"/>
      <c r="K381" s="198" t="s">
        <v>917</v>
      </c>
      <c r="L381" s="5"/>
      <c r="M381" s="305">
        <v>45474</v>
      </c>
      <c r="N381" s="18" t="s">
        <v>213</v>
      </c>
      <c r="O381" s="74"/>
      <c r="P381" s="74"/>
      <c r="Q381" s="74"/>
      <c r="R381" s="87"/>
      <c r="S381" s="87"/>
      <c r="T381" s="87"/>
      <c r="U381" s="87"/>
      <c r="V381" s="87"/>
      <c r="W381" s="87"/>
      <c r="X381" s="87"/>
      <c r="Y381" s="87"/>
    </row>
    <row r="382" spans="2:25" ht="27" customHeight="1">
      <c r="B382" s="8" t="s">
        <v>632</v>
      </c>
      <c r="C382" s="9">
        <f t="shared" si="0"/>
        <v>12</v>
      </c>
      <c r="D382" s="60">
        <v>10</v>
      </c>
      <c r="E382" s="44" t="s">
        <v>633</v>
      </c>
      <c r="F382" s="42" t="s">
        <v>652</v>
      </c>
      <c r="G382" s="238" t="s">
        <v>653</v>
      </c>
      <c r="H382" s="9" t="s">
        <v>38</v>
      </c>
      <c r="I382" s="9" t="s">
        <v>654</v>
      </c>
      <c r="J382" s="5"/>
      <c r="K382" s="198" t="s">
        <v>917</v>
      </c>
      <c r="L382" s="5"/>
      <c r="M382" s="305">
        <v>45474</v>
      </c>
      <c r="N382" s="18" t="s">
        <v>213</v>
      </c>
      <c r="O382" s="74"/>
      <c r="P382" s="74"/>
      <c r="Q382" s="74"/>
      <c r="R382" s="87"/>
      <c r="S382" s="87"/>
      <c r="T382" s="87"/>
      <c r="U382" s="87"/>
      <c r="V382" s="87"/>
      <c r="W382" s="87"/>
      <c r="X382" s="87"/>
      <c r="Y382" s="87"/>
    </row>
    <row r="383" spans="2:25" ht="27" customHeight="1">
      <c r="B383" s="8" t="s">
        <v>632</v>
      </c>
      <c r="C383" s="9">
        <f t="shared" si="0"/>
        <v>13</v>
      </c>
      <c r="D383" s="60">
        <v>10</v>
      </c>
      <c r="E383" s="44" t="s">
        <v>633</v>
      </c>
      <c r="F383" s="42" t="s">
        <v>820</v>
      </c>
      <c r="G383" s="238" t="s">
        <v>653</v>
      </c>
      <c r="H383" s="9" t="s">
        <v>38</v>
      </c>
      <c r="I383" s="9" t="s">
        <v>655</v>
      </c>
      <c r="J383" s="47"/>
      <c r="K383" s="198" t="s">
        <v>917</v>
      </c>
      <c r="L383" s="5"/>
      <c r="M383" s="305">
        <v>45474</v>
      </c>
      <c r="N383" s="18" t="s">
        <v>213</v>
      </c>
      <c r="O383" s="74"/>
      <c r="P383" s="74"/>
      <c r="Q383" s="74"/>
      <c r="R383" s="87"/>
      <c r="S383" s="87"/>
      <c r="T383" s="87"/>
      <c r="U383" s="87"/>
      <c r="V383" s="87"/>
      <c r="W383" s="87"/>
      <c r="X383" s="87"/>
      <c r="Y383" s="87"/>
    </row>
    <row r="384" spans="2:25" ht="27" customHeight="1">
      <c r="B384" s="320" t="s">
        <v>656</v>
      </c>
      <c r="C384" s="319">
        <v>1</v>
      </c>
      <c r="D384" s="319">
        <v>10</v>
      </c>
      <c r="E384" s="320" t="s">
        <v>371</v>
      </c>
      <c r="F384" s="321" t="s">
        <v>657</v>
      </c>
      <c r="G384" s="372" t="s">
        <v>373</v>
      </c>
      <c r="H384" s="322" t="s">
        <v>658</v>
      </c>
      <c r="I384" s="319" t="s">
        <v>181</v>
      </c>
      <c r="J384" s="5"/>
      <c r="K384" s="325" t="s">
        <v>192</v>
      </c>
      <c r="L384" s="13"/>
      <c r="M384" s="326" t="s">
        <v>192</v>
      </c>
      <c r="N384" s="327" t="s">
        <v>192</v>
      </c>
      <c r="O384" s="74"/>
      <c r="P384" s="74"/>
      <c r="Q384" s="74"/>
      <c r="R384" s="87"/>
      <c r="S384" s="87"/>
      <c r="T384" s="87"/>
      <c r="U384" s="87"/>
      <c r="V384" s="87"/>
      <c r="W384" s="87"/>
      <c r="X384" s="87"/>
      <c r="Y384" s="87"/>
    </row>
    <row r="385" spans="2:28" ht="27" customHeight="1">
      <c r="B385" s="8" t="s">
        <v>659</v>
      </c>
      <c r="C385" s="4">
        <v>1</v>
      </c>
      <c r="D385" s="185">
        <v>10</v>
      </c>
      <c r="E385" s="44" t="s">
        <v>382</v>
      </c>
      <c r="F385" s="42" t="s">
        <v>837</v>
      </c>
      <c r="G385" s="238" t="s">
        <v>660</v>
      </c>
      <c r="H385" s="9" t="s">
        <v>44</v>
      </c>
      <c r="I385" s="60" t="s">
        <v>113</v>
      </c>
      <c r="J385" s="49"/>
      <c r="K385" s="59" t="s">
        <v>916</v>
      </c>
      <c r="L385" s="49"/>
      <c r="M385" s="304">
        <v>45482</v>
      </c>
      <c r="N385" s="9" t="s">
        <v>29</v>
      </c>
      <c r="O385" s="74"/>
      <c r="P385" s="74"/>
      <c r="Q385" s="74"/>
      <c r="R385" s="87"/>
      <c r="S385" s="87"/>
      <c r="T385" s="134"/>
      <c r="U385" s="134"/>
      <c r="V385" s="134"/>
      <c r="W385" s="134"/>
      <c r="X385" s="134"/>
      <c r="Y385" s="134"/>
    </row>
    <row r="386" spans="2:28" s="88" customFormat="1" ht="27" customHeight="1">
      <c r="B386" s="69"/>
      <c r="C386" s="81"/>
      <c r="D386" s="81"/>
      <c r="E386" s="69"/>
      <c r="F386" s="82"/>
      <c r="G386" s="82"/>
      <c r="H386" s="81"/>
      <c r="I386" s="81"/>
      <c r="J386" s="255"/>
      <c r="K386" s="276"/>
      <c r="L386" s="255"/>
      <c r="M386" s="275"/>
      <c r="N386" s="268"/>
      <c r="O386" s="52"/>
      <c r="P386" s="52"/>
      <c r="Q386" s="52"/>
      <c r="R386" s="135"/>
      <c r="S386" s="135"/>
      <c r="T386" s="135"/>
      <c r="U386" s="135"/>
      <c r="V386" s="135"/>
      <c r="W386" s="135"/>
      <c r="X386" s="135"/>
      <c r="Y386" s="135"/>
      <c r="Z386" s="136"/>
      <c r="AA386" s="123"/>
      <c r="AB386" s="123"/>
    </row>
    <row r="387" spans="2:28" s="88" customFormat="1" ht="27" customHeight="1">
      <c r="B387" s="263"/>
      <c r="C387" s="262"/>
      <c r="D387" s="262"/>
      <c r="E387" s="260"/>
      <c r="F387" s="260"/>
      <c r="G387" s="274"/>
      <c r="H387" s="142"/>
      <c r="I387" s="268"/>
      <c r="J387" s="268"/>
      <c r="K387" s="273"/>
      <c r="L387" s="268"/>
      <c r="M387" s="268"/>
      <c r="N387" s="268"/>
      <c r="O387" s="52"/>
      <c r="P387" s="52"/>
      <c r="Q387" s="52"/>
      <c r="R387" s="134"/>
      <c r="S387" s="134"/>
      <c r="T387" s="134"/>
      <c r="U387" s="134"/>
      <c r="V387" s="134"/>
      <c r="W387" s="134"/>
      <c r="X387" s="134"/>
      <c r="Y387" s="134"/>
      <c r="Z387" s="123"/>
      <c r="AA387" s="123"/>
      <c r="AB387" s="123"/>
    </row>
    <row r="388" spans="2:28" s="88" customFormat="1" ht="27" customHeight="1">
      <c r="B388" s="263"/>
      <c r="C388" s="262"/>
      <c r="D388" s="262"/>
      <c r="E388" s="260"/>
      <c r="F388" s="260"/>
      <c r="G388" s="141" t="s">
        <v>661</v>
      </c>
      <c r="H388" s="142"/>
      <c r="I388" s="268"/>
      <c r="J388" s="268"/>
      <c r="K388" s="273"/>
      <c r="L388" s="259"/>
      <c r="M388" s="268"/>
      <c r="N388" s="268"/>
      <c r="O388" s="52"/>
      <c r="P388" s="52"/>
      <c r="Q388" s="52"/>
      <c r="R388" s="134"/>
      <c r="S388" s="134"/>
      <c r="T388" s="134"/>
      <c r="U388" s="134"/>
      <c r="V388" s="134"/>
      <c r="W388" s="134"/>
      <c r="X388" s="134"/>
      <c r="Y388" s="134"/>
      <c r="Z388" s="123"/>
      <c r="AA388" s="123"/>
      <c r="AB388" s="123"/>
    </row>
    <row r="389" spans="2:28" s="88" customFormat="1" ht="27" customHeight="1">
      <c r="B389" s="260"/>
      <c r="C389" s="268"/>
      <c r="D389" s="268"/>
      <c r="E389" s="260"/>
      <c r="F389" s="260"/>
      <c r="G389" s="260"/>
      <c r="H389" s="142"/>
      <c r="I389" s="262"/>
      <c r="J389" s="268"/>
      <c r="K389" s="273"/>
      <c r="L389" s="268"/>
      <c r="M389" s="268"/>
      <c r="N389" s="268"/>
      <c r="O389" s="52"/>
      <c r="P389" s="52"/>
      <c r="Q389" s="52"/>
      <c r="R389" s="87"/>
      <c r="S389" s="87"/>
      <c r="T389" s="87"/>
      <c r="U389" s="87"/>
      <c r="V389" s="87"/>
      <c r="W389" s="87"/>
      <c r="X389" s="87"/>
      <c r="Y389" s="87"/>
      <c r="Z389" s="123"/>
      <c r="AA389" s="123"/>
      <c r="AB389" s="123"/>
    </row>
    <row r="390" spans="2:28" ht="27" customHeight="1">
      <c r="B390" s="260"/>
      <c r="C390" s="268"/>
      <c r="D390" s="268"/>
      <c r="E390" s="260"/>
      <c r="F390" s="260"/>
      <c r="G390" s="272"/>
      <c r="H390" s="268"/>
      <c r="I390" s="259"/>
      <c r="J390" s="259"/>
      <c r="K390" s="271"/>
      <c r="L390" s="268"/>
      <c r="M390" s="259"/>
      <c r="N390" s="259"/>
      <c r="O390" s="53"/>
      <c r="P390" s="53"/>
      <c r="Q390" s="53"/>
      <c r="R390" s="87"/>
      <c r="S390" s="87"/>
      <c r="T390" s="87"/>
      <c r="U390" s="87"/>
      <c r="V390" s="87"/>
      <c r="W390" s="87"/>
      <c r="X390" s="87"/>
      <c r="Y390" s="87"/>
    </row>
    <row r="391" spans="2:28" ht="27" customHeight="1">
      <c r="B391" s="239" t="s">
        <v>662</v>
      </c>
      <c r="C391" s="268"/>
      <c r="D391" s="268"/>
      <c r="E391" s="29"/>
      <c r="F391" s="268"/>
      <c r="H391" s="268"/>
      <c r="I391" s="268"/>
      <c r="J391" s="268"/>
      <c r="K391" s="268"/>
      <c r="L391" s="268"/>
      <c r="M391" s="268"/>
      <c r="N391" s="268"/>
      <c r="O391" s="52"/>
      <c r="P391" s="52"/>
      <c r="Q391" s="52"/>
      <c r="R391" s="87"/>
      <c r="S391" s="87"/>
      <c r="T391" s="87"/>
      <c r="U391" s="87"/>
      <c r="V391" s="87"/>
      <c r="W391" s="87"/>
      <c r="X391" s="87"/>
      <c r="Y391" s="87"/>
    </row>
    <row r="392" spans="2:28" ht="27" customHeight="1">
      <c r="B392" s="260"/>
      <c r="C392" s="268"/>
      <c r="D392" s="268"/>
      <c r="E392" s="260"/>
      <c r="F392" s="268"/>
      <c r="G392" s="268"/>
      <c r="H392" s="268"/>
      <c r="I392" s="268"/>
      <c r="J392" s="268"/>
      <c r="K392" s="268"/>
      <c r="L392" s="268"/>
      <c r="M392" s="268"/>
      <c r="N392" s="268"/>
      <c r="O392" s="52"/>
      <c r="P392" s="52"/>
      <c r="Q392" s="52"/>
      <c r="R392" s="87"/>
      <c r="S392" s="87"/>
      <c r="T392" s="87"/>
      <c r="U392" s="87"/>
      <c r="V392" s="87"/>
      <c r="W392" s="87"/>
      <c r="X392" s="87"/>
      <c r="Y392" s="87"/>
    </row>
    <row r="393" spans="2:28" ht="27" customHeight="1">
      <c r="B393" s="264"/>
      <c r="C393" s="263"/>
      <c r="D393" s="262"/>
      <c r="E393" s="263"/>
      <c r="F393" s="263"/>
      <c r="G393" s="263"/>
      <c r="H393" s="105" t="s">
        <v>7</v>
      </c>
      <c r="I393" s="71" t="s">
        <v>8</v>
      </c>
      <c r="J393" s="268"/>
      <c r="K393" s="20" t="s">
        <v>9</v>
      </c>
      <c r="L393" s="268"/>
      <c r="M393" s="425" t="s">
        <v>10</v>
      </c>
      <c r="N393" s="426"/>
      <c r="O393" s="199"/>
      <c r="P393" s="199"/>
      <c r="Q393" s="199"/>
      <c r="R393" s="87"/>
      <c r="S393" s="87"/>
      <c r="T393" s="87"/>
      <c r="U393" s="87"/>
      <c r="V393" s="87"/>
      <c r="W393" s="87"/>
      <c r="X393" s="87"/>
      <c r="Y393" s="87"/>
    </row>
    <row r="394" spans="2:28" ht="27" customHeight="1">
      <c r="B394" s="22" t="s">
        <v>11</v>
      </c>
      <c r="C394" s="20" t="s">
        <v>12</v>
      </c>
      <c r="D394" s="20" t="s">
        <v>13</v>
      </c>
      <c r="E394" s="21" t="s">
        <v>14</v>
      </c>
      <c r="F394" s="21" t="s">
        <v>15</v>
      </c>
      <c r="G394" s="22" t="s">
        <v>663</v>
      </c>
      <c r="H394" s="4" t="s">
        <v>17</v>
      </c>
      <c r="I394" s="4" t="s">
        <v>17</v>
      </c>
      <c r="J394" s="5"/>
      <c r="K394" s="20" t="s">
        <v>18</v>
      </c>
      <c r="L394" s="64"/>
      <c r="M394" s="71" t="s">
        <v>0</v>
      </c>
      <c r="N394" s="71" t="s">
        <v>1</v>
      </c>
      <c r="O394" s="79"/>
      <c r="P394" s="79"/>
      <c r="Q394" s="79"/>
      <c r="R394" s="129"/>
      <c r="S394" s="129"/>
      <c r="T394" s="129"/>
      <c r="U394" s="129"/>
      <c r="V394" s="129"/>
      <c r="W394" s="129"/>
      <c r="X394" s="129"/>
      <c r="Y394" s="129"/>
    </row>
    <row r="395" spans="2:28" ht="27" customHeight="1">
      <c r="B395" s="320" t="s">
        <v>664</v>
      </c>
      <c r="C395" s="319">
        <v>1</v>
      </c>
      <c r="D395" s="319">
        <v>10</v>
      </c>
      <c r="E395" s="320" t="s">
        <v>665</v>
      </c>
      <c r="F395" s="321" t="s">
        <v>666</v>
      </c>
      <c r="G395" s="372" t="s">
        <v>667</v>
      </c>
      <c r="H395" s="322" t="s">
        <v>48</v>
      </c>
      <c r="I395" s="319" t="s">
        <v>80</v>
      </c>
      <c r="J395" s="5"/>
      <c r="K395" s="325" t="s">
        <v>894</v>
      </c>
      <c r="L395" s="13"/>
      <c r="M395" s="326">
        <v>45839</v>
      </c>
      <c r="N395" s="327" t="s">
        <v>55</v>
      </c>
      <c r="O395" s="199"/>
      <c r="P395" s="199"/>
      <c r="Q395" s="199"/>
      <c r="R395" s="87"/>
      <c r="S395" s="87"/>
      <c r="T395" s="87"/>
      <c r="U395" s="87"/>
      <c r="V395" s="87"/>
      <c r="W395" s="87"/>
      <c r="X395" s="87"/>
      <c r="Y395" s="87"/>
    </row>
    <row r="396" spans="2:28" ht="27" customHeight="1">
      <c r="B396" s="8" t="s">
        <v>668</v>
      </c>
      <c r="C396" s="9">
        <v>1</v>
      </c>
      <c r="D396" s="9">
        <v>10</v>
      </c>
      <c r="E396" s="10" t="s">
        <v>669</v>
      </c>
      <c r="F396" s="8" t="s">
        <v>670</v>
      </c>
      <c r="G396" s="8" t="s">
        <v>667</v>
      </c>
      <c r="H396" s="9" t="s">
        <v>35</v>
      </c>
      <c r="I396" s="237" t="s">
        <v>281</v>
      </c>
      <c r="J396" s="30"/>
      <c r="K396" s="9" t="s">
        <v>192</v>
      </c>
      <c r="L396" s="167"/>
      <c r="M396" s="59" t="s">
        <v>192</v>
      </c>
      <c r="N396" s="59" t="s">
        <v>192</v>
      </c>
      <c r="O396" s="79"/>
      <c r="P396" s="79"/>
      <c r="Q396" s="79"/>
      <c r="R396" s="129"/>
      <c r="S396" s="137"/>
      <c r="T396" s="137"/>
      <c r="U396" s="137"/>
      <c r="V396" s="137"/>
      <c r="W396" s="137"/>
      <c r="X396" s="137"/>
      <c r="Y396" s="137"/>
    </row>
    <row r="397" spans="2:28" ht="27" customHeight="1">
      <c r="B397" s="320" t="s">
        <v>671</v>
      </c>
      <c r="C397" s="319">
        <v>1</v>
      </c>
      <c r="D397" s="319">
        <v>10</v>
      </c>
      <c r="E397" s="320" t="s">
        <v>672</v>
      </c>
      <c r="F397" s="321" t="s">
        <v>673</v>
      </c>
      <c r="G397" s="372" t="s">
        <v>667</v>
      </c>
      <c r="H397" s="322" t="s">
        <v>48</v>
      </c>
      <c r="I397" s="319" t="s">
        <v>80</v>
      </c>
      <c r="J397" s="5"/>
      <c r="K397" s="325" t="s">
        <v>920</v>
      </c>
      <c r="L397" s="13"/>
      <c r="M397" s="326">
        <v>45839</v>
      </c>
      <c r="N397" s="327" t="s">
        <v>55</v>
      </c>
      <c r="O397" s="199"/>
      <c r="P397" s="199"/>
      <c r="Q397" s="199"/>
      <c r="R397" s="87"/>
      <c r="S397" s="87"/>
      <c r="T397" s="87"/>
      <c r="U397" s="87"/>
      <c r="V397" s="87"/>
      <c r="W397" s="87"/>
      <c r="X397" s="87"/>
      <c r="Y397" s="87"/>
    </row>
    <row r="398" spans="2:28" s="88" customFormat="1" ht="27" customHeight="1">
      <c r="B398" s="62" t="s">
        <v>839</v>
      </c>
      <c r="C398" s="9">
        <v>1</v>
      </c>
      <c r="D398" s="9">
        <v>10</v>
      </c>
      <c r="E398" s="11" t="s">
        <v>840</v>
      </c>
      <c r="F398" s="11" t="s">
        <v>434</v>
      </c>
      <c r="G398" s="8" t="s">
        <v>667</v>
      </c>
      <c r="H398" s="9" t="s">
        <v>71</v>
      </c>
      <c r="I398" s="9" t="s">
        <v>246</v>
      </c>
      <c r="J398" s="191"/>
      <c r="K398" s="9" t="s">
        <v>896</v>
      </c>
      <c r="L398" s="64"/>
      <c r="M398" s="166">
        <v>45840</v>
      </c>
      <c r="N398" s="59" t="s">
        <v>895</v>
      </c>
      <c r="O398" s="79"/>
      <c r="P398" s="79"/>
      <c r="Q398" s="79"/>
      <c r="R398" s="129"/>
      <c r="S398" s="84"/>
      <c r="T398" s="84"/>
      <c r="U398" s="84"/>
      <c r="V398" s="84"/>
      <c r="W398" s="84"/>
      <c r="X398" s="84"/>
      <c r="Y398" s="84"/>
      <c r="Z398" s="123"/>
      <c r="AA398" s="123"/>
      <c r="AB398" s="123"/>
    </row>
    <row r="399" spans="2:28" ht="27" customHeight="1">
      <c r="B399" s="260"/>
      <c r="C399" s="268"/>
      <c r="D399" s="268"/>
      <c r="E399" s="260"/>
      <c r="F399" s="259"/>
      <c r="G399" s="259"/>
      <c r="H399" s="268"/>
      <c r="I399" s="262"/>
      <c r="J399" s="268"/>
      <c r="K399" s="239"/>
      <c r="L399" s="262"/>
      <c r="M399" s="262"/>
      <c r="N399" s="259"/>
      <c r="O399" s="199"/>
      <c r="P399" s="199"/>
      <c r="Q399" s="199"/>
      <c r="R399" s="87"/>
      <c r="S399" s="87"/>
      <c r="T399" s="87"/>
      <c r="U399" s="87"/>
      <c r="V399" s="87"/>
      <c r="W399" s="87"/>
      <c r="X399" s="87"/>
      <c r="Y399" s="87"/>
    </row>
    <row r="400" spans="2:28" ht="27" customHeight="1">
      <c r="B400" s="260"/>
      <c r="C400" s="268"/>
      <c r="D400" s="268"/>
      <c r="E400" s="260"/>
      <c r="F400" s="259"/>
      <c r="G400" s="143" t="s">
        <v>674</v>
      </c>
      <c r="H400" s="268"/>
      <c r="I400" s="262"/>
      <c r="J400" s="268"/>
      <c r="K400" s="239"/>
      <c r="L400" s="262"/>
      <c r="M400" s="262"/>
      <c r="N400" s="259"/>
      <c r="O400" s="53"/>
      <c r="P400" s="53"/>
      <c r="Q400" s="53"/>
      <c r="R400" s="87"/>
      <c r="S400" s="87"/>
      <c r="T400" s="87"/>
      <c r="U400" s="87"/>
      <c r="V400" s="87"/>
      <c r="W400" s="87"/>
      <c r="X400" s="87"/>
      <c r="Y400" s="87"/>
    </row>
    <row r="401" spans="2:25" ht="27" customHeight="1">
      <c r="B401" s="260"/>
      <c r="C401" s="268"/>
      <c r="D401" s="268"/>
      <c r="E401" s="260"/>
      <c r="F401" s="259"/>
      <c r="G401" s="259"/>
      <c r="H401" s="268"/>
      <c r="I401" s="262"/>
      <c r="J401" s="268"/>
      <c r="K401" s="239"/>
      <c r="L401" s="262"/>
      <c r="M401" s="262"/>
      <c r="N401" s="259"/>
      <c r="O401" s="53"/>
      <c r="P401" s="53"/>
      <c r="Q401" s="53"/>
      <c r="R401" s="87"/>
      <c r="S401" s="87"/>
      <c r="T401" s="87"/>
      <c r="U401" s="87"/>
      <c r="V401" s="87"/>
      <c r="W401" s="87"/>
      <c r="X401" s="87"/>
      <c r="Y401" s="87"/>
    </row>
    <row r="402" spans="2:25" ht="27" customHeight="1">
      <c r="B402" s="260"/>
      <c r="C402" s="268"/>
      <c r="D402" s="268"/>
      <c r="E402" s="260"/>
      <c r="F402" s="259"/>
      <c r="G402" s="259"/>
      <c r="H402" s="268"/>
      <c r="I402" s="262"/>
      <c r="J402" s="268"/>
      <c r="K402" s="239"/>
      <c r="L402" s="262"/>
      <c r="M402" s="262"/>
      <c r="N402" s="259"/>
      <c r="O402" s="53"/>
      <c r="P402" s="53"/>
      <c r="Q402" s="53"/>
      <c r="R402" s="87"/>
      <c r="S402" s="87"/>
      <c r="T402" s="87"/>
      <c r="U402" s="87"/>
      <c r="V402" s="87"/>
      <c r="W402" s="87"/>
      <c r="X402" s="87"/>
      <c r="Y402" s="87"/>
    </row>
    <row r="403" spans="2:25" ht="27" customHeight="1">
      <c r="B403" s="260"/>
      <c r="C403" s="268"/>
      <c r="D403" s="268"/>
      <c r="E403" s="260"/>
      <c r="F403" s="259"/>
      <c r="G403" s="259"/>
      <c r="H403" s="268"/>
      <c r="I403" s="262"/>
      <c r="J403" s="268"/>
      <c r="K403" s="239"/>
      <c r="L403" s="262"/>
      <c r="M403" s="262"/>
      <c r="N403" s="259"/>
      <c r="O403" s="53"/>
      <c r="P403" s="53"/>
      <c r="Q403" s="53"/>
      <c r="R403" s="87"/>
      <c r="S403" s="87"/>
      <c r="T403" s="87"/>
      <c r="U403" s="87"/>
      <c r="V403" s="87"/>
      <c r="W403" s="87"/>
      <c r="X403" s="87"/>
      <c r="Y403" s="87"/>
    </row>
    <row r="404" spans="2:25" ht="27" customHeight="1">
      <c r="C404" s="268"/>
      <c r="D404" s="268"/>
      <c r="E404" s="260"/>
      <c r="F404" s="259"/>
      <c r="G404" s="259"/>
      <c r="H404" s="268"/>
      <c r="I404" s="268"/>
      <c r="J404" s="268"/>
      <c r="K404" s="239"/>
      <c r="L404" s="264"/>
      <c r="M404" s="262"/>
      <c r="N404" s="259"/>
      <c r="O404" s="53"/>
      <c r="P404" s="53"/>
      <c r="Q404" s="53"/>
      <c r="R404" s="87"/>
      <c r="S404" s="87"/>
      <c r="T404" s="87"/>
      <c r="U404" s="87"/>
      <c r="V404" s="87"/>
      <c r="W404" s="87"/>
      <c r="X404" s="87"/>
      <c r="Y404" s="87"/>
    </row>
  </sheetData>
  <mergeCells count="152">
    <mergeCell ref="M48:M49"/>
    <mergeCell ref="N48:N49"/>
    <mergeCell ref="J96:L96"/>
    <mergeCell ref="L46:L47"/>
    <mergeCell ref="L48:L49"/>
    <mergeCell ref="K42:K43"/>
    <mergeCell ref="P304:Q304"/>
    <mergeCell ref="P105:Q105"/>
    <mergeCell ref="P167:Q167"/>
    <mergeCell ref="P268:Q268"/>
    <mergeCell ref="P317:Q317"/>
    <mergeCell ref="P342:Q342"/>
    <mergeCell ref="P282:Q282"/>
    <mergeCell ref="P291:Q291"/>
    <mergeCell ref="P130:Q130"/>
    <mergeCell ref="P217:Q217"/>
    <mergeCell ref="F257:F258"/>
    <mergeCell ref="H257:H258"/>
    <mergeCell ref="I255:I256"/>
    <mergeCell ref="O255:O256"/>
    <mergeCell ref="O257:O258"/>
    <mergeCell ref="P255:P256"/>
    <mergeCell ref="Q255:Q256"/>
    <mergeCell ref="P257:P258"/>
    <mergeCell ref="Q257:Q258"/>
    <mergeCell ref="N255:N256"/>
    <mergeCell ref="L255:L256"/>
    <mergeCell ref="K255:K256"/>
    <mergeCell ref="J255:J256"/>
    <mergeCell ref="B259:B260"/>
    <mergeCell ref="C259:C260"/>
    <mergeCell ref="D259:D260"/>
    <mergeCell ref="E259:E260"/>
    <mergeCell ref="F259:F260"/>
    <mergeCell ref="O42:O43"/>
    <mergeCell ref="O44:O45"/>
    <mergeCell ref="O46:O47"/>
    <mergeCell ref="O48:O49"/>
    <mergeCell ref="H95:I95"/>
    <mergeCell ref="H96:I96"/>
    <mergeCell ref="H97:I97"/>
    <mergeCell ref="H98:I98"/>
    <mergeCell ref="H44:H45"/>
    <mergeCell ref="H46:H47"/>
    <mergeCell ref="H48:H49"/>
    <mergeCell ref="L42:L43"/>
    <mergeCell ref="L44:L45"/>
    <mergeCell ref="M42:M43"/>
    <mergeCell ref="N42:N43"/>
    <mergeCell ref="M44:M45"/>
    <mergeCell ref="N44:N45"/>
    <mergeCell ref="M46:M47"/>
    <mergeCell ref="N46:N47"/>
    <mergeCell ref="I257:I258"/>
    <mergeCell ref="J257:J258"/>
    <mergeCell ref="K257:K258"/>
    <mergeCell ref="B255:B256"/>
    <mergeCell ref="C255:C256"/>
    <mergeCell ref="N257:N258"/>
    <mergeCell ref="B257:B258"/>
    <mergeCell ref="C257:C258"/>
    <mergeCell ref="D257:D258"/>
    <mergeCell ref="E257:E258"/>
    <mergeCell ref="D255:D256"/>
    <mergeCell ref="E255:E256"/>
    <mergeCell ref="F255:F256"/>
    <mergeCell ref="H255:H256"/>
    <mergeCell ref="J95:L95"/>
    <mergeCell ref="M105:N105"/>
    <mergeCell ref="M130:N130"/>
    <mergeCell ref="M167:N167"/>
    <mergeCell ref="M317:N317"/>
    <mergeCell ref="M342:N342"/>
    <mergeCell ref="M191:N191"/>
    <mergeCell ref="M196:N196"/>
    <mergeCell ref="M217:N217"/>
    <mergeCell ref="L257:L258"/>
    <mergeCell ref="M257:M258"/>
    <mergeCell ref="M255:M256"/>
    <mergeCell ref="L259:L260"/>
    <mergeCell ref="M259:M260"/>
    <mergeCell ref="N259:N260"/>
    <mergeCell ref="J261:J262"/>
    <mergeCell ref="K261:K262"/>
    <mergeCell ref="L261:L262"/>
    <mergeCell ref="M261:M262"/>
    <mergeCell ref="N261:N262"/>
    <mergeCell ref="M393:N393"/>
    <mergeCell ref="B261:B262"/>
    <mergeCell ref="C261:C262"/>
    <mergeCell ref="D261:D262"/>
    <mergeCell ref="E261:E262"/>
    <mergeCell ref="F261:F262"/>
    <mergeCell ref="H261:H262"/>
    <mergeCell ref="I261:I262"/>
    <mergeCell ref="M369:N369"/>
    <mergeCell ref="M268:N268"/>
    <mergeCell ref="M282:N282"/>
    <mergeCell ref="M304:N304"/>
    <mergeCell ref="M291:N291"/>
    <mergeCell ref="M12:N12"/>
    <mergeCell ref="I44:I45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42:B43"/>
    <mergeCell ref="C42:C43"/>
    <mergeCell ref="D42:D43"/>
    <mergeCell ref="E42:E43"/>
    <mergeCell ref="F42:F43"/>
    <mergeCell ref="B44:B45"/>
    <mergeCell ref="C44:C45"/>
    <mergeCell ref="D44:D45"/>
    <mergeCell ref="E44:E45"/>
    <mergeCell ref="F44:F45"/>
    <mergeCell ref="H42:H43"/>
    <mergeCell ref="I42:I43"/>
    <mergeCell ref="I46:I47"/>
    <mergeCell ref="I48:I49"/>
    <mergeCell ref="J42:J43"/>
    <mergeCell ref="J44:J45"/>
    <mergeCell ref="J46:J47"/>
    <mergeCell ref="J48:J49"/>
    <mergeCell ref="K44:K45"/>
    <mergeCell ref="K46:K47"/>
    <mergeCell ref="K48:K49"/>
    <mergeCell ref="H259:H260"/>
    <mergeCell ref="I259:I260"/>
    <mergeCell ref="J259:J260"/>
    <mergeCell ref="K259:K260"/>
    <mergeCell ref="O259:O260"/>
    <mergeCell ref="O261:O262"/>
    <mergeCell ref="P259:P260"/>
    <mergeCell ref="Q259:Q260"/>
    <mergeCell ref="P261:P262"/>
    <mergeCell ref="Q261:Q262"/>
    <mergeCell ref="P12:Q12"/>
    <mergeCell ref="P42:P43"/>
    <mergeCell ref="Q42:Q43"/>
    <mergeCell ref="P44:P45"/>
    <mergeCell ref="Q44:Q45"/>
    <mergeCell ref="P46:P47"/>
    <mergeCell ref="Q46:Q47"/>
    <mergeCell ref="P48:P49"/>
    <mergeCell ref="Q48:Q49"/>
  </mergeCells>
  <pageMargins left="0.23622047244094491" right="0.23622047244094491" top="0.74803149606299213" bottom="0.74803149606299213" header="0.31496062992125984" footer="0.31496062992125984"/>
  <pageSetup paperSize="14" scale="69" fitToHeight="0" orientation="landscape" r:id="rId1"/>
  <rowBreaks count="9" manualBreakCount="9">
    <brk id="92" max="16" man="1"/>
    <brk id="100" max="16" man="1"/>
    <brk id="128" max="16" man="1"/>
    <brk id="205" max="16" man="1"/>
    <brk id="264" max="16" man="1"/>
    <brk id="289" max="16" man="1"/>
    <brk id="315" max="16" man="1"/>
    <brk id="339" max="16" man="1"/>
    <brk id="385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36328125" defaultRowHeight="15" customHeight="1"/>
  <cols>
    <col min="1" max="1" width="8.984375E-2" customWidth="1"/>
    <col min="2" max="2" width="8.36328125" customWidth="1"/>
    <col min="3" max="3" width="4.36328125" customWidth="1"/>
    <col min="4" max="4" width="5.26953125" customWidth="1"/>
    <col min="5" max="5" width="27.36328125" customWidth="1"/>
    <col min="6" max="6" width="17.6328125" customWidth="1"/>
    <col min="7" max="7" width="10.36328125" customWidth="1"/>
    <col min="8" max="8" width="6.36328125" customWidth="1"/>
    <col min="9" max="9" width="5.81640625" customWidth="1"/>
    <col min="10" max="10" width="6.36328125" customWidth="1"/>
    <col min="11" max="11" width="6" customWidth="1"/>
    <col min="12" max="13" width="9.08984375" customWidth="1"/>
    <col min="14" max="14" width="7.6328125" customWidth="1"/>
    <col min="15" max="15" width="7.7265625" customWidth="1"/>
    <col min="16" max="16" width="15.36328125" customWidth="1"/>
    <col min="17" max="21" width="11.36328125" customWidth="1"/>
    <col min="22" max="26" width="10" customWidth="1"/>
  </cols>
  <sheetData>
    <row r="1" spans="1:26" ht="13.5" customHeight="1">
      <c r="A1" s="3"/>
      <c r="B1" s="3"/>
      <c r="C1" s="14"/>
      <c r="D1" s="14"/>
      <c r="E1" s="3"/>
      <c r="F1" s="32" t="s">
        <v>675</v>
      </c>
      <c r="G1" s="26"/>
      <c r="H1" s="3"/>
      <c r="I1" s="3"/>
      <c r="J1" s="3"/>
      <c r="K1" s="3"/>
      <c r="L1" s="3"/>
      <c r="M1" s="3"/>
      <c r="N1" s="3"/>
      <c r="O1" s="1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3"/>
      <c r="B2" s="3"/>
      <c r="C2" s="14"/>
      <c r="D2" s="14"/>
      <c r="E2" s="3"/>
      <c r="F2" s="32" t="s">
        <v>676</v>
      </c>
      <c r="G2" s="26"/>
      <c r="H2" s="3"/>
      <c r="I2" s="3"/>
      <c r="J2" s="3"/>
      <c r="K2" s="3"/>
      <c r="L2" s="3"/>
      <c r="M2" s="3"/>
      <c r="N2" s="3"/>
      <c r="O2" s="1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">
      <c r="A3" s="3"/>
      <c r="B3" s="3"/>
      <c r="C3" s="14"/>
      <c r="D3" s="14"/>
      <c r="E3" s="3"/>
      <c r="F3" s="32" t="s">
        <v>677</v>
      </c>
      <c r="G3" s="26"/>
      <c r="H3" s="3"/>
      <c r="I3" s="3"/>
      <c r="J3" s="3"/>
      <c r="K3" s="3"/>
      <c r="L3" s="3"/>
      <c r="M3" s="3"/>
      <c r="N3" s="3"/>
      <c r="O3" s="2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5">
      <c r="A4" s="3"/>
      <c r="B4" s="3"/>
      <c r="C4" s="14"/>
      <c r="D4" s="14"/>
      <c r="E4" s="3"/>
      <c r="F4" s="26"/>
      <c r="G4" s="26"/>
      <c r="H4" s="3"/>
      <c r="I4" s="3"/>
      <c r="J4" s="3"/>
      <c r="K4" s="3"/>
      <c r="L4" s="3"/>
      <c r="M4" s="3"/>
      <c r="N4" s="3"/>
      <c r="O4" s="1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5">
      <c r="A5" s="33"/>
      <c r="B5" s="33" t="s">
        <v>6</v>
      </c>
      <c r="C5" s="3"/>
      <c r="D5" s="14"/>
      <c r="E5" s="3"/>
      <c r="F5" s="3"/>
      <c r="G5" s="3"/>
      <c r="H5" s="3"/>
      <c r="I5" s="3"/>
      <c r="J5" s="3"/>
      <c r="K5" s="3"/>
      <c r="L5" s="3"/>
      <c r="M5" s="3"/>
      <c r="N5" s="3"/>
      <c r="O5" s="1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5">
      <c r="A6" s="33"/>
      <c r="B6" s="33"/>
      <c r="C6" s="3"/>
      <c r="D6" s="14"/>
      <c r="E6" s="3"/>
      <c r="F6" s="3"/>
      <c r="G6" s="3"/>
      <c r="H6" s="3"/>
      <c r="I6" s="3"/>
      <c r="J6" s="3"/>
      <c r="K6" s="3">
        <f t="shared" ref="K6:L6" si="0">SUM(K8:K40)+SUM(K58:K67)+SUM(K72:K80)+SUM(K85:K93)+SUM(K97:K102)+SUM(K106:K133)+SUM(K138:K144)+SUM(K151:K178)+SUM(K185:K196)+SUM(K208:K209)+SUM(K216:K222)</f>
        <v>501</v>
      </c>
      <c r="L6" s="3">
        <f t="shared" si="0"/>
        <v>305</v>
      </c>
      <c r="M6" s="3"/>
      <c r="N6" s="3"/>
      <c r="O6" s="1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5">
      <c r="A7" s="3" t="s">
        <v>11</v>
      </c>
      <c r="B7" s="34" t="s">
        <v>11</v>
      </c>
      <c r="C7" s="35" t="s">
        <v>12</v>
      </c>
      <c r="D7" s="35" t="s">
        <v>13</v>
      </c>
      <c r="E7" s="34" t="s">
        <v>14</v>
      </c>
      <c r="F7" s="34" t="s">
        <v>15</v>
      </c>
      <c r="G7" s="36" t="s">
        <v>16</v>
      </c>
      <c r="H7" s="34" t="s">
        <v>19</v>
      </c>
      <c r="I7" s="34" t="s">
        <v>20</v>
      </c>
      <c r="J7" s="34" t="s">
        <v>678</v>
      </c>
      <c r="K7" s="34" t="s">
        <v>21</v>
      </c>
      <c r="L7" s="34" t="s">
        <v>679</v>
      </c>
      <c r="M7" s="34" t="s">
        <v>680</v>
      </c>
      <c r="N7" s="34" t="s">
        <v>22</v>
      </c>
      <c r="O7" s="35" t="s">
        <v>681</v>
      </c>
      <c r="P7" s="34" t="s">
        <v>682</v>
      </c>
      <c r="Q7" s="34"/>
      <c r="R7" s="3"/>
      <c r="S7" s="3"/>
      <c r="T7" s="3"/>
      <c r="U7" s="3"/>
      <c r="V7" s="3"/>
      <c r="W7" s="3"/>
      <c r="X7" s="3"/>
      <c r="Y7" s="3"/>
      <c r="Z7" s="3"/>
    </row>
    <row r="8" spans="1:26" ht="12.5">
      <c r="A8" s="2" t="e">
        <f t="shared" ref="A8:G8" si="1">+#REF!</f>
        <v>#REF!</v>
      </c>
      <c r="B8" s="37" t="e">
        <f t="shared" si="1"/>
        <v>#REF!</v>
      </c>
      <c r="C8" s="38" t="e">
        <f t="shared" si="1"/>
        <v>#REF!</v>
      </c>
      <c r="D8" s="38" t="e">
        <f t="shared" si="1"/>
        <v>#REF!</v>
      </c>
      <c r="E8" s="37" t="e">
        <f t="shared" si="1"/>
        <v>#REF!</v>
      </c>
      <c r="F8" s="39" t="e">
        <f t="shared" si="1"/>
        <v>#REF!</v>
      </c>
      <c r="G8" s="39" t="e">
        <f t="shared" si="1"/>
        <v>#REF!</v>
      </c>
      <c r="H8" s="37">
        <v>55</v>
      </c>
      <c r="I8" s="37"/>
      <c r="J8" s="37"/>
      <c r="K8" s="37">
        <v>5</v>
      </c>
      <c r="L8" s="37">
        <v>5</v>
      </c>
      <c r="M8" s="37"/>
      <c r="N8" s="37">
        <f t="shared" ref="N8:N40" si="2">SUM(H8:L8)</f>
        <v>65</v>
      </c>
      <c r="O8" s="38" t="e">
        <f t="shared" ref="O8:O53" si="3">+#REF!</f>
        <v>#REF!</v>
      </c>
      <c r="P8" s="37">
        <v>80</v>
      </c>
      <c r="Q8" s="37"/>
      <c r="R8" s="2"/>
      <c r="S8" s="2"/>
      <c r="T8" s="2"/>
      <c r="U8" s="2"/>
      <c r="V8" s="2"/>
      <c r="W8" s="2"/>
      <c r="X8" s="2"/>
      <c r="Y8" s="2"/>
      <c r="Z8" s="2"/>
    </row>
    <row r="9" spans="1:26" ht="12.5">
      <c r="A9" s="2" t="e">
        <f t="shared" ref="A9:G9" si="4">+#REF!</f>
        <v>#REF!</v>
      </c>
      <c r="B9" s="37" t="e">
        <f t="shared" si="4"/>
        <v>#REF!</v>
      </c>
      <c r="C9" s="38" t="e">
        <f t="shared" si="4"/>
        <v>#REF!</v>
      </c>
      <c r="D9" s="38" t="e">
        <f t="shared" si="4"/>
        <v>#REF!</v>
      </c>
      <c r="E9" s="37" t="e">
        <f t="shared" si="4"/>
        <v>#REF!</v>
      </c>
      <c r="F9" s="39" t="e">
        <f t="shared" si="4"/>
        <v>#REF!</v>
      </c>
      <c r="G9" s="39" t="e">
        <f t="shared" si="4"/>
        <v>#REF!</v>
      </c>
      <c r="H9" s="37">
        <v>55</v>
      </c>
      <c r="I9" s="37"/>
      <c r="J9" s="37"/>
      <c r="K9" s="37">
        <v>5</v>
      </c>
      <c r="L9" s="37">
        <v>5</v>
      </c>
      <c r="M9" s="37"/>
      <c r="N9" s="37">
        <f t="shared" si="2"/>
        <v>65</v>
      </c>
      <c r="O9" s="38" t="e">
        <f t="shared" si="3"/>
        <v>#REF!</v>
      </c>
      <c r="P9" s="37">
        <v>100</v>
      </c>
      <c r="Q9" s="37"/>
      <c r="R9" s="2"/>
      <c r="S9" s="2"/>
      <c r="T9" s="2"/>
      <c r="U9" s="2"/>
      <c r="V9" s="2"/>
      <c r="W9" s="2"/>
      <c r="X9" s="2"/>
      <c r="Y9" s="2"/>
      <c r="Z9" s="2"/>
    </row>
    <row r="10" spans="1:26" ht="12.5">
      <c r="A10" s="2" t="e">
        <f t="shared" ref="A10:G10" si="5">+#REF!</f>
        <v>#REF!</v>
      </c>
      <c r="B10" s="37" t="e">
        <f t="shared" si="5"/>
        <v>#REF!</v>
      </c>
      <c r="C10" s="38" t="e">
        <f t="shared" si="5"/>
        <v>#REF!</v>
      </c>
      <c r="D10" s="38" t="e">
        <f t="shared" si="5"/>
        <v>#REF!</v>
      </c>
      <c r="E10" s="37" t="e">
        <f t="shared" si="5"/>
        <v>#REF!</v>
      </c>
      <c r="F10" s="39" t="e">
        <f t="shared" si="5"/>
        <v>#REF!</v>
      </c>
      <c r="G10" s="39" t="e">
        <f t="shared" si="5"/>
        <v>#REF!</v>
      </c>
      <c r="H10" s="37">
        <v>55</v>
      </c>
      <c r="I10" s="37"/>
      <c r="J10" s="37"/>
      <c r="K10" s="37">
        <v>5</v>
      </c>
      <c r="L10" s="37">
        <v>5</v>
      </c>
      <c r="M10" s="37"/>
      <c r="N10" s="37">
        <f t="shared" si="2"/>
        <v>65</v>
      </c>
      <c r="O10" s="38" t="e">
        <f t="shared" si="3"/>
        <v>#REF!</v>
      </c>
      <c r="P10" s="37">
        <v>80</v>
      </c>
      <c r="Q10" s="37"/>
      <c r="R10" s="2"/>
      <c r="S10" s="2"/>
      <c r="T10" s="2"/>
      <c r="U10" s="2"/>
      <c r="V10" s="2"/>
      <c r="W10" s="2"/>
      <c r="X10" s="2"/>
      <c r="Y10" s="2"/>
      <c r="Z10" s="2"/>
    </row>
    <row r="11" spans="1:26" ht="12.5">
      <c r="A11" s="2" t="e">
        <f t="shared" ref="A11:G11" si="6">+#REF!</f>
        <v>#REF!</v>
      </c>
      <c r="B11" s="37" t="e">
        <f t="shared" si="6"/>
        <v>#REF!</v>
      </c>
      <c r="C11" s="38" t="e">
        <f t="shared" si="6"/>
        <v>#REF!</v>
      </c>
      <c r="D11" s="38" t="e">
        <f t="shared" si="6"/>
        <v>#REF!</v>
      </c>
      <c r="E11" s="37" t="e">
        <f t="shared" si="6"/>
        <v>#REF!</v>
      </c>
      <c r="F11" s="39" t="e">
        <f t="shared" si="6"/>
        <v>#REF!</v>
      </c>
      <c r="G11" s="39" t="e">
        <f t="shared" si="6"/>
        <v>#REF!</v>
      </c>
      <c r="H11" s="37">
        <v>55</v>
      </c>
      <c r="I11" s="37"/>
      <c r="J11" s="37"/>
      <c r="K11" s="37">
        <v>5</v>
      </c>
      <c r="L11" s="37">
        <v>5</v>
      </c>
      <c r="M11" s="37"/>
      <c r="N11" s="37">
        <f t="shared" si="2"/>
        <v>65</v>
      </c>
      <c r="O11" s="38" t="e">
        <f t="shared" si="3"/>
        <v>#REF!</v>
      </c>
      <c r="P11" s="37">
        <v>100</v>
      </c>
      <c r="Q11" s="37"/>
      <c r="R11" s="2"/>
      <c r="S11" s="2"/>
      <c r="T11" s="2"/>
      <c r="U11" s="2"/>
      <c r="V11" s="2"/>
      <c r="W11" s="2"/>
      <c r="X11" s="2"/>
      <c r="Y11" s="2"/>
      <c r="Z11" s="2"/>
    </row>
    <row r="12" spans="1:26" ht="12.5">
      <c r="A12" s="2" t="e">
        <f t="shared" ref="A12:G12" si="7">+#REF!</f>
        <v>#REF!</v>
      </c>
      <c r="B12" s="37" t="e">
        <f t="shared" si="7"/>
        <v>#REF!</v>
      </c>
      <c r="C12" s="38" t="e">
        <f t="shared" si="7"/>
        <v>#REF!</v>
      </c>
      <c r="D12" s="38" t="e">
        <f t="shared" si="7"/>
        <v>#REF!</v>
      </c>
      <c r="E12" s="37" t="e">
        <f t="shared" si="7"/>
        <v>#REF!</v>
      </c>
      <c r="F12" s="39" t="e">
        <f t="shared" si="7"/>
        <v>#REF!</v>
      </c>
      <c r="G12" s="39" t="e">
        <f t="shared" si="7"/>
        <v>#REF!</v>
      </c>
      <c r="H12" s="37">
        <v>40</v>
      </c>
      <c r="I12" s="37"/>
      <c r="J12" s="37">
        <v>15</v>
      </c>
      <c r="K12" s="37">
        <v>5</v>
      </c>
      <c r="L12" s="37">
        <v>3</v>
      </c>
      <c r="M12" s="37"/>
      <c r="N12" s="37">
        <f t="shared" si="2"/>
        <v>63</v>
      </c>
      <c r="O12" s="38" t="e">
        <f t="shared" si="3"/>
        <v>#REF!</v>
      </c>
      <c r="P12" s="37">
        <v>75</v>
      </c>
      <c r="Q12" s="37"/>
      <c r="R12" s="2"/>
      <c r="S12" s="2"/>
      <c r="T12" s="2"/>
      <c r="U12" s="2"/>
      <c r="V12" s="2"/>
      <c r="W12" s="2"/>
      <c r="X12" s="2"/>
      <c r="Y12" s="2"/>
      <c r="Z12" s="2"/>
    </row>
    <row r="13" spans="1:26" ht="12.5">
      <c r="A13" s="2" t="e">
        <f t="shared" ref="A13:G13" si="8">+#REF!</f>
        <v>#REF!</v>
      </c>
      <c r="B13" s="37" t="e">
        <f t="shared" si="8"/>
        <v>#REF!</v>
      </c>
      <c r="C13" s="38" t="e">
        <f t="shared" si="8"/>
        <v>#REF!</v>
      </c>
      <c r="D13" s="38" t="e">
        <f t="shared" si="8"/>
        <v>#REF!</v>
      </c>
      <c r="E13" s="37" t="e">
        <f t="shared" si="8"/>
        <v>#REF!</v>
      </c>
      <c r="F13" s="39" t="e">
        <f t="shared" si="8"/>
        <v>#REF!</v>
      </c>
      <c r="G13" s="39" t="e">
        <f t="shared" si="8"/>
        <v>#REF!</v>
      </c>
      <c r="H13" s="37">
        <v>40</v>
      </c>
      <c r="I13" s="37"/>
      <c r="J13" s="37">
        <v>15</v>
      </c>
      <c r="K13" s="37">
        <v>5</v>
      </c>
      <c r="L13" s="37">
        <v>3</v>
      </c>
      <c r="M13" s="37"/>
      <c r="N13" s="37">
        <f t="shared" si="2"/>
        <v>63</v>
      </c>
      <c r="O13" s="38" t="e">
        <f t="shared" si="3"/>
        <v>#REF!</v>
      </c>
      <c r="P13" s="37">
        <v>60</v>
      </c>
      <c r="Q13" s="37"/>
      <c r="R13" s="2"/>
      <c r="S13" s="2"/>
      <c r="T13" s="2"/>
      <c r="U13" s="2"/>
      <c r="V13" s="2"/>
      <c r="W13" s="2"/>
      <c r="X13" s="2"/>
      <c r="Y13" s="2"/>
      <c r="Z13" s="2"/>
    </row>
    <row r="14" spans="1:26" ht="12.5">
      <c r="A14" s="2" t="e">
        <f t="shared" ref="A14:G14" si="9">+#REF!</f>
        <v>#REF!</v>
      </c>
      <c r="B14" s="37" t="e">
        <f t="shared" si="9"/>
        <v>#REF!</v>
      </c>
      <c r="C14" s="38" t="e">
        <f t="shared" si="9"/>
        <v>#REF!</v>
      </c>
      <c r="D14" s="38" t="e">
        <f t="shared" si="9"/>
        <v>#REF!</v>
      </c>
      <c r="E14" s="37" t="e">
        <f t="shared" si="9"/>
        <v>#REF!</v>
      </c>
      <c r="F14" s="39" t="e">
        <f t="shared" si="9"/>
        <v>#REF!</v>
      </c>
      <c r="G14" s="39" t="e">
        <f t="shared" si="9"/>
        <v>#REF!</v>
      </c>
      <c r="H14" s="37">
        <v>51</v>
      </c>
      <c r="I14" s="37"/>
      <c r="J14" s="37">
        <v>14</v>
      </c>
      <c r="K14" s="37">
        <v>5</v>
      </c>
      <c r="L14" s="37"/>
      <c r="M14" s="37"/>
      <c r="N14" s="37">
        <f t="shared" si="2"/>
        <v>70</v>
      </c>
      <c r="O14" s="38" t="e">
        <f t="shared" si="3"/>
        <v>#REF!</v>
      </c>
      <c r="P14" s="37">
        <v>120</v>
      </c>
      <c r="Q14" s="37"/>
      <c r="R14" s="2"/>
      <c r="S14" s="2"/>
      <c r="T14" s="2"/>
      <c r="U14" s="2"/>
      <c r="V14" s="2"/>
      <c r="W14" s="2"/>
      <c r="X14" s="2"/>
      <c r="Y14" s="2"/>
      <c r="Z14" s="2"/>
    </row>
    <row r="15" spans="1:26" ht="12.5">
      <c r="A15" s="2" t="e">
        <f t="shared" ref="A15:G15" si="10">+#REF!</f>
        <v>#REF!</v>
      </c>
      <c r="B15" s="37" t="e">
        <f t="shared" si="10"/>
        <v>#REF!</v>
      </c>
      <c r="C15" s="38" t="e">
        <f t="shared" si="10"/>
        <v>#REF!</v>
      </c>
      <c r="D15" s="38" t="e">
        <f t="shared" si="10"/>
        <v>#REF!</v>
      </c>
      <c r="E15" s="37" t="e">
        <f t="shared" si="10"/>
        <v>#REF!</v>
      </c>
      <c r="F15" s="39" t="e">
        <f t="shared" si="10"/>
        <v>#REF!</v>
      </c>
      <c r="G15" s="39" t="e">
        <f t="shared" si="10"/>
        <v>#REF!</v>
      </c>
      <c r="H15" s="37">
        <v>51</v>
      </c>
      <c r="I15" s="37"/>
      <c r="J15" s="37">
        <v>14</v>
      </c>
      <c r="K15" s="37">
        <v>5</v>
      </c>
      <c r="L15" s="37"/>
      <c r="M15" s="37"/>
      <c r="N15" s="37">
        <f t="shared" si="2"/>
        <v>70</v>
      </c>
      <c r="O15" s="38" t="e">
        <f t="shared" si="3"/>
        <v>#REF!</v>
      </c>
      <c r="P15" s="37">
        <v>110</v>
      </c>
      <c r="Q15" s="37"/>
      <c r="R15" s="2"/>
      <c r="S15" s="2"/>
      <c r="T15" s="2"/>
      <c r="U15" s="2"/>
      <c r="V15" s="2"/>
      <c r="W15" s="2"/>
      <c r="X15" s="2"/>
      <c r="Y15" s="2"/>
      <c r="Z15" s="2"/>
    </row>
    <row r="16" spans="1:26" ht="12.5">
      <c r="A16" s="2" t="e">
        <f t="shared" ref="A16:G16" si="11">+#REF!</f>
        <v>#REF!</v>
      </c>
      <c r="B16" s="37" t="e">
        <f t="shared" si="11"/>
        <v>#REF!</v>
      </c>
      <c r="C16" s="38" t="e">
        <f t="shared" si="11"/>
        <v>#REF!</v>
      </c>
      <c r="D16" s="38" t="e">
        <f t="shared" si="11"/>
        <v>#REF!</v>
      </c>
      <c r="E16" s="37" t="e">
        <f t="shared" si="11"/>
        <v>#REF!</v>
      </c>
      <c r="F16" s="39" t="e">
        <f t="shared" si="11"/>
        <v>#REF!</v>
      </c>
      <c r="G16" s="39" t="e">
        <f t="shared" si="11"/>
        <v>#REF!</v>
      </c>
      <c r="H16" s="37">
        <v>51</v>
      </c>
      <c r="I16" s="37"/>
      <c r="J16" s="37">
        <v>14</v>
      </c>
      <c r="K16" s="37">
        <v>5</v>
      </c>
      <c r="L16" s="37"/>
      <c r="M16" s="37"/>
      <c r="N16" s="37">
        <f t="shared" si="2"/>
        <v>70</v>
      </c>
      <c r="O16" s="38" t="e">
        <f t="shared" si="3"/>
        <v>#REF!</v>
      </c>
      <c r="P16" s="37">
        <v>80</v>
      </c>
      <c r="Q16" s="37"/>
      <c r="R16" s="2"/>
      <c r="S16" s="2"/>
      <c r="T16" s="2"/>
      <c r="U16" s="2"/>
      <c r="V16" s="2"/>
      <c r="W16" s="2"/>
      <c r="X16" s="2"/>
      <c r="Y16" s="2"/>
      <c r="Z16" s="2"/>
    </row>
    <row r="17" spans="1:26" ht="12.5">
      <c r="A17" s="2" t="e">
        <f t="shared" ref="A17:G17" si="12">+#REF!</f>
        <v>#REF!</v>
      </c>
      <c r="B17" s="37" t="e">
        <f t="shared" si="12"/>
        <v>#REF!</v>
      </c>
      <c r="C17" s="38" t="e">
        <f t="shared" si="12"/>
        <v>#REF!</v>
      </c>
      <c r="D17" s="38" t="e">
        <f t="shared" si="12"/>
        <v>#REF!</v>
      </c>
      <c r="E17" s="37" t="e">
        <f t="shared" si="12"/>
        <v>#REF!</v>
      </c>
      <c r="F17" s="39" t="e">
        <f t="shared" si="12"/>
        <v>#REF!</v>
      </c>
      <c r="G17" s="39" t="e">
        <f t="shared" si="12"/>
        <v>#REF!</v>
      </c>
      <c r="H17" s="37">
        <v>51</v>
      </c>
      <c r="I17" s="37"/>
      <c r="J17" s="37">
        <v>14</v>
      </c>
      <c r="K17" s="37">
        <v>5</v>
      </c>
      <c r="L17" s="37"/>
      <c r="M17" s="37"/>
      <c r="N17" s="37">
        <f t="shared" si="2"/>
        <v>70</v>
      </c>
      <c r="O17" s="38" t="e">
        <f t="shared" si="3"/>
        <v>#REF!</v>
      </c>
      <c r="P17" s="37">
        <v>110</v>
      </c>
      <c r="Q17" s="37"/>
      <c r="R17" s="2"/>
      <c r="S17" s="2"/>
      <c r="T17" s="2"/>
      <c r="U17" s="2"/>
      <c r="V17" s="2"/>
      <c r="W17" s="2"/>
      <c r="X17" s="2"/>
      <c r="Y17" s="2"/>
      <c r="Z17" s="2"/>
    </row>
    <row r="18" spans="1:26" ht="12.5">
      <c r="A18" s="2" t="e">
        <f t="shared" ref="A18:G18" si="13">+#REF!</f>
        <v>#REF!</v>
      </c>
      <c r="B18" s="37" t="e">
        <f t="shared" si="13"/>
        <v>#REF!</v>
      </c>
      <c r="C18" s="38" t="e">
        <f t="shared" si="13"/>
        <v>#REF!</v>
      </c>
      <c r="D18" s="38" t="e">
        <f t="shared" si="13"/>
        <v>#REF!</v>
      </c>
      <c r="E18" s="37" t="e">
        <f t="shared" si="13"/>
        <v>#REF!</v>
      </c>
      <c r="F18" s="39" t="e">
        <f t="shared" si="13"/>
        <v>#REF!</v>
      </c>
      <c r="G18" s="39" t="e">
        <f t="shared" si="13"/>
        <v>#REF!</v>
      </c>
      <c r="H18" s="37">
        <v>45</v>
      </c>
      <c r="I18" s="37"/>
      <c r="J18" s="37"/>
      <c r="K18" s="37">
        <v>5</v>
      </c>
      <c r="L18" s="37">
        <v>5</v>
      </c>
      <c r="M18" s="37"/>
      <c r="N18" s="37">
        <f t="shared" si="2"/>
        <v>55</v>
      </c>
      <c r="O18" s="38" t="e">
        <f t="shared" si="3"/>
        <v>#REF!</v>
      </c>
      <c r="P18" s="37">
        <v>75</v>
      </c>
      <c r="Q18" s="37"/>
      <c r="R18" s="2"/>
      <c r="S18" s="2"/>
      <c r="T18" s="2"/>
      <c r="U18" s="2"/>
      <c r="V18" s="2"/>
      <c r="W18" s="2"/>
      <c r="X18" s="2"/>
      <c r="Y18" s="2"/>
      <c r="Z18" s="2"/>
    </row>
    <row r="19" spans="1:26" ht="12.5">
      <c r="A19" s="2" t="e">
        <f t="shared" ref="A19:G19" si="14">+#REF!</f>
        <v>#REF!</v>
      </c>
      <c r="B19" s="37" t="e">
        <f t="shared" si="14"/>
        <v>#REF!</v>
      </c>
      <c r="C19" s="38" t="e">
        <f t="shared" si="14"/>
        <v>#REF!</v>
      </c>
      <c r="D19" s="38" t="e">
        <f t="shared" si="14"/>
        <v>#REF!</v>
      </c>
      <c r="E19" s="37" t="e">
        <f t="shared" si="14"/>
        <v>#REF!</v>
      </c>
      <c r="F19" s="39" t="e">
        <f t="shared" si="14"/>
        <v>#REF!</v>
      </c>
      <c r="G19" s="39" t="e">
        <f t="shared" si="14"/>
        <v>#REF!</v>
      </c>
      <c r="H19" s="37">
        <v>45</v>
      </c>
      <c r="I19" s="37"/>
      <c r="J19" s="37"/>
      <c r="K19" s="37">
        <v>5</v>
      </c>
      <c r="L19" s="37">
        <v>5</v>
      </c>
      <c r="M19" s="37"/>
      <c r="N19" s="37">
        <f t="shared" si="2"/>
        <v>55</v>
      </c>
      <c r="O19" s="38" t="e">
        <f t="shared" si="3"/>
        <v>#REF!</v>
      </c>
      <c r="P19" s="37">
        <v>60</v>
      </c>
      <c r="Q19" s="37"/>
      <c r="R19" s="2"/>
      <c r="S19" s="2"/>
      <c r="T19" s="2"/>
      <c r="U19" s="2"/>
      <c r="V19" s="2"/>
      <c r="W19" s="2"/>
      <c r="X19" s="2"/>
      <c r="Y19" s="2"/>
      <c r="Z19" s="2"/>
    </row>
    <row r="20" spans="1:26" ht="12.5">
      <c r="A20" s="2" t="e">
        <f t="shared" ref="A20:G20" si="15">+#REF!</f>
        <v>#REF!</v>
      </c>
      <c r="B20" s="37" t="e">
        <f t="shared" si="15"/>
        <v>#REF!</v>
      </c>
      <c r="C20" s="38" t="e">
        <f t="shared" si="15"/>
        <v>#REF!</v>
      </c>
      <c r="D20" s="38" t="e">
        <f t="shared" si="15"/>
        <v>#REF!</v>
      </c>
      <c r="E20" s="37" t="e">
        <f t="shared" si="15"/>
        <v>#REF!</v>
      </c>
      <c r="F20" s="39" t="e">
        <f t="shared" si="15"/>
        <v>#REF!</v>
      </c>
      <c r="G20" s="39" t="e">
        <f t="shared" si="15"/>
        <v>#REF!</v>
      </c>
      <c r="H20" s="37">
        <v>50</v>
      </c>
      <c r="I20" s="37"/>
      <c r="J20" s="37"/>
      <c r="K20" s="37">
        <v>5</v>
      </c>
      <c r="L20" s="37"/>
      <c r="M20" s="37"/>
      <c r="N20" s="37">
        <f t="shared" si="2"/>
        <v>55</v>
      </c>
      <c r="O20" s="38" t="e">
        <f t="shared" si="3"/>
        <v>#REF!</v>
      </c>
      <c r="P20" s="37">
        <v>100</v>
      </c>
      <c r="Q20" s="37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e">
        <f t="shared" ref="A21:G21" si="16">+#REF!</f>
        <v>#REF!</v>
      </c>
      <c r="B21" s="37" t="e">
        <f t="shared" si="16"/>
        <v>#REF!</v>
      </c>
      <c r="C21" s="38" t="e">
        <f t="shared" si="16"/>
        <v>#REF!</v>
      </c>
      <c r="D21" s="38" t="e">
        <f t="shared" si="16"/>
        <v>#REF!</v>
      </c>
      <c r="E21" s="37" t="e">
        <f t="shared" si="16"/>
        <v>#REF!</v>
      </c>
      <c r="F21" s="39" t="e">
        <f t="shared" si="16"/>
        <v>#REF!</v>
      </c>
      <c r="G21" s="39" t="e">
        <f t="shared" si="16"/>
        <v>#REF!</v>
      </c>
      <c r="H21" s="37">
        <v>50</v>
      </c>
      <c r="I21" s="37"/>
      <c r="J21" s="37"/>
      <c r="K21" s="37">
        <v>5</v>
      </c>
      <c r="L21" s="37"/>
      <c r="M21" s="37"/>
      <c r="N21" s="37">
        <f t="shared" si="2"/>
        <v>55</v>
      </c>
      <c r="O21" s="38" t="e">
        <f t="shared" si="3"/>
        <v>#REF!</v>
      </c>
      <c r="P21" s="37">
        <v>56</v>
      </c>
      <c r="Q21" s="37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e">
        <f t="shared" ref="A22:G22" si="17">+#REF!</f>
        <v>#REF!</v>
      </c>
      <c r="B22" s="37" t="e">
        <f t="shared" si="17"/>
        <v>#REF!</v>
      </c>
      <c r="C22" s="38" t="e">
        <f t="shared" si="17"/>
        <v>#REF!</v>
      </c>
      <c r="D22" s="38" t="e">
        <f t="shared" si="17"/>
        <v>#REF!</v>
      </c>
      <c r="E22" s="37" t="e">
        <f t="shared" si="17"/>
        <v>#REF!</v>
      </c>
      <c r="F22" s="39" t="e">
        <f t="shared" si="17"/>
        <v>#REF!</v>
      </c>
      <c r="G22" s="39" t="e">
        <f t="shared" si="17"/>
        <v>#REF!</v>
      </c>
      <c r="H22" s="37">
        <v>65</v>
      </c>
      <c r="I22" s="37"/>
      <c r="J22" s="37"/>
      <c r="K22" s="37">
        <v>5</v>
      </c>
      <c r="L22" s="37"/>
      <c r="M22" s="37"/>
      <c r="N22" s="37">
        <f t="shared" si="2"/>
        <v>70</v>
      </c>
      <c r="O22" s="38" t="e">
        <f t="shared" si="3"/>
        <v>#REF!</v>
      </c>
      <c r="P22" s="37">
        <v>120</v>
      </c>
      <c r="Q22" s="37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e">
        <f t="shared" ref="A23:G23" si="18">+#REF!</f>
        <v>#REF!</v>
      </c>
      <c r="B23" s="37" t="e">
        <f t="shared" si="18"/>
        <v>#REF!</v>
      </c>
      <c r="C23" s="38" t="e">
        <f t="shared" si="18"/>
        <v>#REF!</v>
      </c>
      <c r="D23" s="38" t="e">
        <f t="shared" si="18"/>
        <v>#REF!</v>
      </c>
      <c r="E23" s="37" t="e">
        <f t="shared" si="18"/>
        <v>#REF!</v>
      </c>
      <c r="F23" s="39" t="e">
        <f t="shared" si="18"/>
        <v>#REF!</v>
      </c>
      <c r="G23" s="39" t="e">
        <f t="shared" si="18"/>
        <v>#REF!</v>
      </c>
      <c r="H23" s="37">
        <v>55</v>
      </c>
      <c r="I23" s="37"/>
      <c r="J23" s="37"/>
      <c r="K23" s="37">
        <v>5</v>
      </c>
      <c r="L23" s="37"/>
      <c r="M23" s="37"/>
      <c r="N23" s="37">
        <f t="shared" si="2"/>
        <v>60</v>
      </c>
      <c r="O23" s="38" t="e">
        <f t="shared" si="3"/>
        <v>#REF!</v>
      </c>
      <c r="P23" s="37">
        <v>60</v>
      </c>
      <c r="Q23" s="37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e">
        <f t="shared" ref="A24:G24" si="19">+#REF!</f>
        <v>#REF!</v>
      </c>
      <c r="B24" s="37" t="e">
        <f t="shared" si="19"/>
        <v>#REF!</v>
      </c>
      <c r="C24" s="38" t="e">
        <f t="shared" si="19"/>
        <v>#REF!</v>
      </c>
      <c r="D24" s="38" t="e">
        <f t="shared" si="19"/>
        <v>#REF!</v>
      </c>
      <c r="E24" s="37" t="e">
        <f t="shared" si="19"/>
        <v>#REF!</v>
      </c>
      <c r="F24" s="39" t="e">
        <f t="shared" si="19"/>
        <v>#REF!</v>
      </c>
      <c r="G24" s="39" t="e">
        <f t="shared" si="19"/>
        <v>#REF!</v>
      </c>
      <c r="H24" s="37">
        <v>65</v>
      </c>
      <c r="I24" s="37"/>
      <c r="J24" s="37"/>
      <c r="K24" s="37">
        <v>5</v>
      </c>
      <c r="L24" s="37">
        <v>5</v>
      </c>
      <c r="M24" s="37"/>
      <c r="N24" s="37">
        <f t="shared" si="2"/>
        <v>75</v>
      </c>
      <c r="O24" s="38" t="e">
        <f t="shared" si="3"/>
        <v>#REF!</v>
      </c>
      <c r="P24" s="37">
        <v>110</v>
      </c>
      <c r="Q24" s="37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e">
        <f t="shared" ref="A25:G25" si="20">+#REF!</f>
        <v>#REF!</v>
      </c>
      <c r="B25" s="37" t="e">
        <f t="shared" si="20"/>
        <v>#REF!</v>
      </c>
      <c r="C25" s="38" t="e">
        <f t="shared" si="20"/>
        <v>#REF!</v>
      </c>
      <c r="D25" s="38" t="e">
        <f t="shared" si="20"/>
        <v>#REF!</v>
      </c>
      <c r="E25" s="37" t="e">
        <f t="shared" si="20"/>
        <v>#REF!</v>
      </c>
      <c r="F25" s="39" t="e">
        <f t="shared" si="20"/>
        <v>#REF!</v>
      </c>
      <c r="G25" s="39" t="e">
        <f t="shared" si="20"/>
        <v>#REF!</v>
      </c>
      <c r="H25" s="37">
        <v>65</v>
      </c>
      <c r="I25" s="37"/>
      <c r="J25" s="37"/>
      <c r="K25" s="37">
        <v>5</v>
      </c>
      <c r="L25" s="37">
        <v>5</v>
      </c>
      <c r="M25" s="37"/>
      <c r="N25" s="37">
        <f t="shared" si="2"/>
        <v>75</v>
      </c>
      <c r="O25" s="38" t="e">
        <f t="shared" si="3"/>
        <v>#REF!</v>
      </c>
      <c r="P25" s="37">
        <v>100</v>
      </c>
      <c r="Q25" s="37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e">
        <f t="shared" ref="A26:G26" si="21">+#REF!</f>
        <v>#REF!</v>
      </c>
      <c r="B26" s="37" t="e">
        <f t="shared" si="21"/>
        <v>#REF!</v>
      </c>
      <c r="C26" s="38" t="e">
        <f t="shared" si="21"/>
        <v>#REF!</v>
      </c>
      <c r="D26" s="38" t="e">
        <f t="shared" si="21"/>
        <v>#REF!</v>
      </c>
      <c r="E26" s="37" t="e">
        <f t="shared" si="21"/>
        <v>#REF!</v>
      </c>
      <c r="F26" s="39" t="e">
        <f t="shared" si="21"/>
        <v>#REF!</v>
      </c>
      <c r="G26" s="39" t="e">
        <f t="shared" si="21"/>
        <v>#REF!</v>
      </c>
      <c r="H26" s="37">
        <v>55</v>
      </c>
      <c r="I26" s="37"/>
      <c r="J26" s="37"/>
      <c r="K26" s="37">
        <v>5</v>
      </c>
      <c r="L26" s="37"/>
      <c r="M26" s="37"/>
      <c r="N26" s="37">
        <f t="shared" si="2"/>
        <v>60</v>
      </c>
      <c r="O26" s="38" t="e">
        <f t="shared" si="3"/>
        <v>#REF!</v>
      </c>
      <c r="P26" s="37">
        <v>60</v>
      </c>
      <c r="Q26" s="37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e">
        <f t="shared" ref="A27:G27" si="22">+#REF!</f>
        <v>#REF!</v>
      </c>
      <c r="B27" s="37" t="e">
        <f t="shared" si="22"/>
        <v>#REF!</v>
      </c>
      <c r="C27" s="38" t="e">
        <f t="shared" si="22"/>
        <v>#REF!</v>
      </c>
      <c r="D27" s="38" t="e">
        <f t="shared" si="22"/>
        <v>#REF!</v>
      </c>
      <c r="E27" s="37" t="e">
        <f t="shared" si="22"/>
        <v>#REF!</v>
      </c>
      <c r="F27" s="39" t="e">
        <f t="shared" si="22"/>
        <v>#REF!</v>
      </c>
      <c r="G27" s="39" t="e">
        <f t="shared" si="22"/>
        <v>#REF!</v>
      </c>
      <c r="H27" s="37">
        <v>55</v>
      </c>
      <c r="I27" s="37"/>
      <c r="J27" s="37"/>
      <c r="K27" s="37">
        <v>5</v>
      </c>
      <c r="L27" s="37">
        <v>5</v>
      </c>
      <c r="M27" s="37"/>
      <c r="N27" s="37">
        <f t="shared" si="2"/>
        <v>65</v>
      </c>
      <c r="O27" s="38" t="e">
        <f t="shared" si="3"/>
        <v>#REF!</v>
      </c>
      <c r="P27" s="37">
        <v>120</v>
      </c>
      <c r="Q27" s="37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e">
        <f t="shared" ref="A28:G28" si="23">+#REF!</f>
        <v>#REF!</v>
      </c>
      <c r="B28" s="37" t="e">
        <f t="shared" si="23"/>
        <v>#REF!</v>
      </c>
      <c r="C28" s="38" t="e">
        <f t="shared" si="23"/>
        <v>#REF!</v>
      </c>
      <c r="D28" s="38" t="e">
        <f t="shared" si="23"/>
        <v>#REF!</v>
      </c>
      <c r="E28" s="37" t="e">
        <f t="shared" si="23"/>
        <v>#REF!</v>
      </c>
      <c r="F28" s="39" t="e">
        <f t="shared" si="23"/>
        <v>#REF!</v>
      </c>
      <c r="G28" s="39" t="e">
        <f t="shared" si="23"/>
        <v>#REF!</v>
      </c>
      <c r="H28" s="37">
        <v>55</v>
      </c>
      <c r="I28" s="37"/>
      <c r="J28" s="37"/>
      <c r="K28" s="37">
        <v>5</v>
      </c>
      <c r="L28" s="37"/>
      <c r="M28" s="37"/>
      <c r="N28" s="37">
        <f t="shared" si="2"/>
        <v>60</v>
      </c>
      <c r="O28" s="38" t="e">
        <f t="shared" si="3"/>
        <v>#REF!</v>
      </c>
      <c r="P28" s="37">
        <v>60</v>
      </c>
      <c r="Q28" s="37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e">
        <f t="shared" ref="A29:G29" si="24">+#REF!</f>
        <v>#REF!</v>
      </c>
      <c r="B29" s="37" t="e">
        <f t="shared" si="24"/>
        <v>#REF!</v>
      </c>
      <c r="C29" s="38" t="e">
        <f t="shared" si="24"/>
        <v>#REF!</v>
      </c>
      <c r="D29" s="38" t="e">
        <f t="shared" si="24"/>
        <v>#REF!</v>
      </c>
      <c r="E29" s="37" t="e">
        <f t="shared" si="24"/>
        <v>#REF!</v>
      </c>
      <c r="F29" s="39" t="e">
        <f t="shared" si="24"/>
        <v>#REF!</v>
      </c>
      <c r="G29" s="39" t="e">
        <f t="shared" si="24"/>
        <v>#REF!</v>
      </c>
      <c r="H29" s="37">
        <v>60</v>
      </c>
      <c r="I29" s="37"/>
      <c r="J29" s="37"/>
      <c r="K29" s="37"/>
      <c r="L29" s="37">
        <v>5</v>
      </c>
      <c r="M29" s="37"/>
      <c r="N29" s="37">
        <f t="shared" si="2"/>
        <v>65</v>
      </c>
      <c r="O29" s="38" t="e">
        <f t="shared" si="3"/>
        <v>#REF!</v>
      </c>
      <c r="P29" s="37">
        <v>75</v>
      </c>
      <c r="Q29" s="37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e">
        <f t="shared" ref="A30:G30" si="25">+#REF!</f>
        <v>#REF!</v>
      </c>
      <c r="B30" s="37" t="e">
        <f t="shared" si="25"/>
        <v>#REF!</v>
      </c>
      <c r="C30" s="38" t="e">
        <f t="shared" si="25"/>
        <v>#REF!</v>
      </c>
      <c r="D30" s="38" t="e">
        <f t="shared" si="25"/>
        <v>#REF!</v>
      </c>
      <c r="E30" s="37" t="e">
        <f t="shared" si="25"/>
        <v>#REF!</v>
      </c>
      <c r="F30" s="39" t="e">
        <f t="shared" si="25"/>
        <v>#REF!</v>
      </c>
      <c r="G30" s="39" t="e">
        <f t="shared" si="25"/>
        <v>#REF!</v>
      </c>
      <c r="H30" s="37">
        <v>60</v>
      </c>
      <c r="I30" s="37"/>
      <c r="J30" s="37"/>
      <c r="K30" s="37"/>
      <c r="L30" s="37">
        <v>5</v>
      </c>
      <c r="M30" s="37"/>
      <c r="N30" s="37">
        <f t="shared" si="2"/>
        <v>65</v>
      </c>
      <c r="O30" s="38" t="e">
        <f t="shared" si="3"/>
        <v>#REF!</v>
      </c>
      <c r="P30" s="37">
        <v>110</v>
      </c>
      <c r="Q30" s="37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e">
        <f t="shared" ref="A31:G31" si="26">+#REF!</f>
        <v>#REF!</v>
      </c>
      <c r="B31" s="37" t="e">
        <f t="shared" si="26"/>
        <v>#REF!</v>
      </c>
      <c r="C31" s="38" t="e">
        <f t="shared" si="26"/>
        <v>#REF!</v>
      </c>
      <c r="D31" s="38" t="e">
        <f t="shared" si="26"/>
        <v>#REF!</v>
      </c>
      <c r="E31" s="37" t="e">
        <f t="shared" si="26"/>
        <v>#REF!</v>
      </c>
      <c r="F31" s="39" t="e">
        <f t="shared" si="26"/>
        <v>#REF!</v>
      </c>
      <c r="G31" s="39" t="e">
        <f t="shared" si="26"/>
        <v>#REF!</v>
      </c>
      <c r="H31" s="37">
        <v>60</v>
      </c>
      <c r="I31" s="37"/>
      <c r="J31" s="37"/>
      <c r="K31" s="37">
        <v>5</v>
      </c>
      <c r="L31" s="37">
        <v>5</v>
      </c>
      <c r="M31" s="37"/>
      <c r="N31" s="37">
        <f t="shared" si="2"/>
        <v>70</v>
      </c>
      <c r="O31" s="38" t="e">
        <f t="shared" si="3"/>
        <v>#REF!</v>
      </c>
      <c r="P31" s="37">
        <v>100</v>
      </c>
      <c r="Q31" s="37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e">
        <f t="shared" ref="A32:G32" si="27">+#REF!</f>
        <v>#REF!</v>
      </c>
      <c r="B32" s="37" t="e">
        <f t="shared" si="27"/>
        <v>#REF!</v>
      </c>
      <c r="C32" s="38" t="e">
        <f t="shared" si="27"/>
        <v>#REF!</v>
      </c>
      <c r="D32" s="38" t="e">
        <f t="shared" si="27"/>
        <v>#REF!</v>
      </c>
      <c r="E32" s="37" t="e">
        <f t="shared" si="27"/>
        <v>#REF!</v>
      </c>
      <c r="F32" s="39" t="e">
        <f t="shared" si="27"/>
        <v>#REF!</v>
      </c>
      <c r="G32" s="39" t="e">
        <f t="shared" si="27"/>
        <v>#REF!</v>
      </c>
      <c r="H32" s="37">
        <v>60</v>
      </c>
      <c r="I32" s="37"/>
      <c r="J32" s="37"/>
      <c r="K32" s="37">
        <v>5</v>
      </c>
      <c r="L32" s="37">
        <v>5</v>
      </c>
      <c r="M32" s="37"/>
      <c r="N32" s="37">
        <f t="shared" si="2"/>
        <v>70</v>
      </c>
      <c r="O32" s="38" t="e">
        <f t="shared" si="3"/>
        <v>#REF!</v>
      </c>
      <c r="P32" s="37">
        <v>100</v>
      </c>
      <c r="Q32" s="37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e">
        <f t="shared" ref="A33:G33" si="28">+#REF!</f>
        <v>#REF!</v>
      </c>
      <c r="B33" s="37" t="e">
        <f t="shared" si="28"/>
        <v>#REF!</v>
      </c>
      <c r="C33" s="38" t="e">
        <f t="shared" si="28"/>
        <v>#REF!</v>
      </c>
      <c r="D33" s="38" t="e">
        <f t="shared" si="28"/>
        <v>#REF!</v>
      </c>
      <c r="E33" s="37" t="e">
        <f t="shared" si="28"/>
        <v>#REF!</v>
      </c>
      <c r="F33" s="39" t="e">
        <f t="shared" si="28"/>
        <v>#REF!</v>
      </c>
      <c r="G33" s="39" t="e">
        <f t="shared" si="28"/>
        <v>#REF!</v>
      </c>
      <c r="H33" s="37">
        <v>55</v>
      </c>
      <c r="I33" s="37"/>
      <c r="J33" s="37"/>
      <c r="K33" s="37">
        <v>5</v>
      </c>
      <c r="L33" s="37">
        <v>2</v>
      </c>
      <c r="M33" s="37"/>
      <c r="N33" s="37">
        <f t="shared" si="2"/>
        <v>62</v>
      </c>
      <c r="O33" s="38" t="e">
        <f t="shared" si="3"/>
        <v>#REF!</v>
      </c>
      <c r="P33" s="37">
        <v>75</v>
      </c>
      <c r="Q33" s="37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e">
        <f t="shared" ref="A34:G34" si="29">+#REF!</f>
        <v>#REF!</v>
      </c>
      <c r="B34" s="37" t="e">
        <f t="shared" si="29"/>
        <v>#REF!</v>
      </c>
      <c r="C34" s="38" t="e">
        <f t="shared" si="29"/>
        <v>#REF!</v>
      </c>
      <c r="D34" s="38" t="e">
        <f t="shared" si="29"/>
        <v>#REF!</v>
      </c>
      <c r="E34" s="37" t="e">
        <f t="shared" si="29"/>
        <v>#REF!</v>
      </c>
      <c r="F34" s="39" t="e">
        <f t="shared" si="29"/>
        <v>#REF!</v>
      </c>
      <c r="G34" s="39" t="e">
        <f t="shared" si="29"/>
        <v>#REF!</v>
      </c>
      <c r="H34" s="37">
        <v>55</v>
      </c>
      <c r="I34" s="37"/>
      <c r="J34" s="37"/>
      <c r="K34" s="37">
        <v>5</v>
      </c>
      <c r="L34" s="37">
        <v>2</v>
      </c>
      <c r="M34" s="37"/>
      <c r="N34" s="37">
        <f t="shared" si="2"/>
        <v>62</v>
      </c>
      <c r="O34" s="38" t="e">
        <f t="shared" si="3"/>
        <v>#REF!</v>
      </c>
      <c r="P34" s="37">
        <v>80</v>
      </c>
      <c r="Q34" s="37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e">
        <f t="shared" ref="A35:G35" si="30">+#REF!</f>
        <v>#REF!</v>
      </c>
      <c r="B35" s="37" t="e">
        <f t="shared" si="30"/>
        <v>#REF!</v>
      </c>
      <c r="C35" s="38" t="e">
        <f t="shared" si="30"/>
        <v>#REF!</v>
      </c>
      <c r="D35" s="38" t="e">
        <f t="shared" si="30"/>
        <v>#REF!</v>
      </c>
      <c r="E35" s="37" t="e">
        <f t="shared" si="30"/>
        <v>#REF!</v>
      </c>
      <c r="F35" s="39" t="e">
        <f t="shared" si="30"/>
        <v>#REF!</v>
      </c>
      <c r="G35" s="39" t="e">
        <f t="shared" si="30"/>
        <v>#REF!</v>
      </c>
      <c r="H35" s="37">
        <v>55</v>
      </c>
      <c r="I35" s="37"/>
      <c r="J35" s="37"/>
      <c r="K35" s="37">
        <v>5</v>
      </c>
      <c r="L35" s="37"/>
      <c r="M35" s="37"/>
      <c r="N35" s="37">
        <f t="shared" si="2"/>
        <v>60</v>
      </c>
      <c r="O35" s="38" t="e">
        <f t="shared" si="3"/>
        <v>#REF!</v>
      </c>
      <c r="P35" s="37">
        <v>60</v>
      </c>
      <c r="Q35" s="37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e">
        <f t="shared" ref="A36:G36" si="31">+#REF!</f>
        <v>#REF!</v>
      </c>
      <c r="B36" s="37" t="e">
        <f t="shared" si="31"/>
        <v>#REF!</v>
      </c>
      <c r="C36" s="38" t="e">
        <f t="shared" si="31"/>
        <v>#REF!</v>
      </c>
      <c r="D36" s="38" t="e">
        <f t="shared" si="31"/>
        <v>#REF!</v>
      </c>
      <c r="E36" s="37" t="e">
        <f t="shared" si="31"/>
        <v>#REF!</v>
      </c>
      <c r="F36" s="39" t="e">
        <f t="shared" si="31"/>
        <v>#REF!</v>
      </c>
      <c r="G36" s="39" t="e">
        <f t="shared" si="31"/>
        <v>#REF!</v>
      </c>
      <c r="H36" s="37">
        <v>55</v>
      </c>
      <c r="I36" s="37"/>
      <c r="J36" s="37">
        <v>20</v>
      </c>
      <c r="K36" s="37">
        <v>3</v>
      </c>
      <c r="L36" s="37"/>
      <c r="M36" s="37"/>
      <c r="N36" s="37">
        <f t="shared" si="2"/>
        <v>78</v>
      </c>
      <c r="O36" s="38" t="e">
        <f t="shared" si="3"/>
        <v>#REF!</v>
      </c>
      <c r="P36" s="37">
        <v>110</v>
      </c>
      <c r="Q36" s="37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e">
        <f t="shared" ref="A37:G37" si="32">+#REF!</f>
        <v>#REF!</v>
      </c>
      <c r="B37" s="37" t="e">
        <f t="shared" si="32"/>
        <v>#REF!</v>
      </c>
      <c r="C37" s="38" t="e">
        <f t="shared" si="32"/>
        <v>#REF!</v>
      </c>
      <c r="D37" s="38" t="e">
        <f t="shared" si="32"/>
        <v>#REF!</v>
      </c>
      <c r="E37" s="37" t="e">
        <f t="shared" si="32"/>
        <v>#REF!</v>
      </c>
      <c r="F37" s="39" t="e">
        <f t="shared" si="32"/>
        <v>#REF!</v>
      </c>
      <c r="G37" s="39" t="e">
        <f t="shared" si="32"/>
        <v>#REF!</v>
      </c>
      <c r="H37" s="37">
        <v>55</v>
      </c>
      <c r="I37" s="37"/>
      <c r="J37" s="37">
        <v>20</v>
      </c>
      <c r="K37" s="37">
        <v>3</v>
      </c>
      <c r="L37" s="37"/>
      <c r="M37" s="37"/>
      <c r="N37" s="37">
        <f t="shared" si="2"/>
        <v>78</v>
      </c>
      <c r="O37" s="38" t="e">
        <f t="shared" si="3"/>
        <v>#REF!</v>
      </c>
      <c r="P37" s="37">
        <v>80</v>
      </c>
      <c r="Q37" s="37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e">
        <f t="shared" ref="A38:G38" si="33">+#REF!</f>
        <v>#REF!</v>
      </c>
      <c r="B38" s="37" t="e">
        <f t="shared" si="33"/>
        <v>#REF!</v>
      </c>
      <c r="C38" s="38" t="e">
        <f t="shared" si="33"/>
        <v>#REF!</v>
      </c>
      <c r="D38" s="38" t="e">
        <f t="shared" si="33"/>
        <v>#REF!</v>
      </c>
      <c r="E38" s="37" t="e">
        <f t="shared" si="33"/>
        <v>#REF!</v>
      </c>
      <c r="F38" s="39" t="e">
        <f t="shared" si="33"/>
        <v>#REF!</v>
      </c>
      <c r="G38" s="39" t="e">
        <f t="shared" si="33"/>
        <v>#REF!</v>
      </c>
      <c r="H38" s="37">
        <v>63</v>
      </c>
      <c r="I38" s="37"/>
      <c r="J38" s="37">
        <v>7</v>
      </c>
      <c r="K38" s="37"/>
      <c r="L38" s="37"/>
      <c r="M38" s="37"/>
      <c r="N38" s="37">
        <f t="shared" si="2"/>
        <v>70</v>
      </c>
      <c r="O38" s="38" t="e">
        <f t="shared" si="3"/>
        <v>#REF!</v>
      </c>
      <c r="P38" s="37">
        <v>100</v>
      </c>
      <c r="Q38" s="37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e">
        <f t="shared" ref="A39:G39" si="34">+#REF!</f>
        <v>#REF!</v>
      </c>
      <c r="B39" s="37" t="e">
        <f t="shared" si="34"/>
        <v>#REF!</v>
      </c>
      <c r="C39" s="38" t="e">
        <f t="shared" si="34"/>
        <v>#REF!</v>
      </c>
      <c r="D39" s="38" t="e">
        <f t="shared" si="34"/>
        <v>#REF!</v>
      </c>
      <c r="E39" s="37" t="e">
        <f t="shared" si="34"/>
        <v>#REF!</v>
      </c>
      <c r="F39" s="39" t="e">
        <f t="shared" si="34"/>
        <v>#REF!</v>
      </c>
      <c r="G39" s="39" t="e">
        <f t="shared" si="34"/>
        <v>#REF!</v>
      </c>
      <c r="H39" s="37">
        <v>63</v>
      </c>
      <c r="I39" s="37"/>
      <c r="J39" s="37">
        <v>7</v>
      </c>
      <c r="K39" s="37"/>
      <c r="L39" s="37"/>
      <c r="M39" s="37"/>
      <c r="N39" s="37">
        <f t="shared" si="2"/>
        <v>70</v>
      </c>
      <c r="O39" s="38" t="e">
        <f t="shared" si="3"/>
        <v>#REF!</v>
      </c>
      <c r="P39" s="37">
        <v>75</v>
      </c>
      <c r="Q39" s="37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e">
        <f t="shared" ref="A40:G40" si="35">+#REF!</f>
        <v>#REF!</v>
      </c>
      <c r="B40" s="37" t="e">
        <f t="shared" si="35"/>
        <v>#REF!</v>
      </c>
      <c r="C40" s="38" t="e">
        <f t="shared" si="35"/>
        <v>#REF!</v>
      </c>
      <c r="D40" s="38" t="e">
        <f t="shared" si="35"/>
        <v>#REF!</v>
      </c>
      <c r="E40" s="37" t="e">
        <f t="shared" si="35"/>
        <v>#REF!</v>
      </c>
      <c r="F40" s="39" t="e">
        <f t="shared" si="35"/>
        <v>#REF!</v>
      </c>
      <c r="G40" s="39" t="e">
        <f t="shared" si="35"/>
        <v>#REF!</v>
      </c>
      <c r="H40" s="37">
        <v>63</v>
      </c>
      <c r="I40" s="37"/>
      <c r="J40" s="37">
        <v>7</v>
      </c>
      <c r="K40" s="37"/>
      <c r="L40" s="37"/>
      <c r="M40" s="37"/>
      <c r="N40" s="37">
        <f t="shared" si="2"/>
        <v>70</v>
      </c>
      <c r="O40" s="38" t="e">
        <f t="shared" si="3"/>
        <v>#REF!</v>
      </c>
      <c r="P40" s="37">
        <v>120</v>
      </c>
      <c r="Q40" s="37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37" t="e">
        <f t="shared" ref="B41:G41" si="36">+#REF!</f>
        <v>#REF!</v>
      </c>
      <c r="C41" s="38" t="e">
        <f t="shared" si="36"/>
        <v>#REF!</v>
      </c>
      <c r="D41" s="38" t="e">
        <f t="shared" si="36"/>
        <v>#REF!</v>
      </c>
      <c r="E41" s="37" t="e">
        <f t="shared" si="36"/>
        <v>#REF!</v>
      </c>
      <c r="F41" s="39" t="e">
        <f t="shared" si="36"/>
        <v>#REF!</v>
      </c>
      <c r="G41" s="39" t="e">
        <f t="shared" si="36"/>
        <v>#REF!</v>
      </c>
      <c r="H41" s="37">
        <v>23</v>
      </c>
      <c r="I41" s="37"/>
      <c r="J41" s="37"/>
      <c r="K41" s="37"/>
      <c r="L41" s="37"/>
      <c r="M41" s="37"/>
      <c r="N41" s="37"/>
      <c r="O41" s="38" t="e">
        <f t="shared" si="3"/>
        <v>#REF!</v>
      </c>
      <c r="P41" s="37"/>
      <c r="Q41" s="37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37" t="e">
        <f t="shared" ref="B42:G42" si="37">+#REF!</f>
        <v>#REF!</v>
      </c>
      <c r="C42" s="38" t="e">
        <f t="shared" si="37"/>
        <v>#REF!</v>
      </c>
      <c r="D42" s="38" t="e">
        <f t="shared" si="37"/>
        <v>#REF!</v>
      </c>
      <c r="E42" s="37" t="e">
        <f t="shared" si="37"/>
        <v>#REF!</v>
      </c>
      <c r="F42" s="39" t="e">
        <f t="shared" si="37"/>
        <v>#REF!</v>
      </c>
      <c r="G42" s="39" t="e">
        <f t="shared" si="37"/>
        <v>#REF!</v>
      </c>
      <c r="H42" s="37">
        <v>23</v>
      </c>
      <c r="I42" s="37"/>
      <c r="J42" s="37"/>
      <c r="K42" s="37"/>
      <c r="L42" s="37"/>
      <c r="M42" s="37"/>
      <c r="N42" s="37"/>
      <c r="O42" s="38" t="e">
        <f t="shared" si="3"/>
        <v>#REF!</v>
      </c>
      <c r="P42" s="37"/>
      <c r="Q42" s="37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37" t="e">
        <f t="shared" ref="B43:G43" si="38">+#REF!</f>
        <v>#REF!</v>
      </c>
      <c r="C43" s="38" t="e">
        <f t="shared" si="38"/>
        <v>#REF!</v>
      </c>
      <c r="D43" s="38" t="e">
        <f t="shared" si="38"/>
        <v>#REF!</v>
      </c>
      <c r="E43" s="37" t="e">
        <f t="shared" si="38"/>
        <v>#REF!</v>
      </c>
      <c r="F43" s="39" t="e">
        <f t="shared" si="38"/>
        <v>#REF!</v>
      </c>
      <c r="G43" s="39" t="e">
        <f t="shared" si="38"/>
        <v>#REF!</v>
      </c>
      <c r="H43" s="37">
        <v>23</v>
      </c>
      <c r="I43" s="37"/>
      <c r="J43" s="37"/>
      <c r="K43" s="37"/>
      <c r="L43" s="37"/>
      <c r="M43" s="37"/>
      <c r="N43" s="37"/>
      <c r="O43" s="38" t="e">
        <f t="shared" si="3"/>
        <v>#REF!</v>
      </c>
      <c r="P43" s="37"/>
      <c r="Q43" s="37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37" t="e">
        <f t="shared" ref="B44:G44" si="39">+#REF!</f>
        <v>#REF!</v>
      </c>
      <c r="C44" s="38" t="e">
        <f t="shared" si="39"/>
        <v>#REF!</v>
      </c>
      <c r="D44" s="38" t="e">
        <f t="shared" si="39"/>
        <v>#REF!</v>
      </c>
      <c r="E44" s="37" t="e">
        <f t="shared" si="39"/>
        <v>#REF!</v>
      </c>
      <c r="F44" s="39" t="e">
        <f t="shared" si="39"/>
        <v>#REF!</v>
      </c>
      <c r="G44" s="39" t="e">
        <f t="shared" si="39"/>
        <v>#REF!</v>
      </c>
      <c r="H44" s="37">
        <v>23</v>
      </c>
      <c r="I44" s="37"/>
      <c r="J44" s="37"/>
      <c r="K44" s="37"/>
      <c r="L44" s="37"/>
      <c r="M44" s="37"/>
      <c r="N44" s="37"/>
      <c r="O44" s="38" t="e">
        <f t="shared" si="3"/>
        <v>#REF!</v>
      </c>
      <c r="P44" s="37"/>
      <c r="Q44" s="37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37" t="e">
        <f t="shared" ref="B45:G45" si="40">+#REF!</f>
        <v>#REF!</v>
      </c>
      <c r="C45" s="38" t="e">
        <f t="shared" si="40"/>
        <v>#REF!</v>
      </c>
      <c r="D45" s="38" t="e">
        <f t="shared" si="40"/>
        <v>#REF!</v>
      </c>
      <c r="E45" s="37" t="e">
        <f t="shared" si="40"/>
        <v>#REF!</v>
      </c>
      <c r="F45" s="39" t="e">
        <f t="shared" si="40"/>
        <v>#REF!</v>
      </c>
      <c r="G45" s="39" t="e">
        <f t="shared" si="40"/>
        <v>#REF!</v>
      </c>
      <c r="H45" s="37">
        <v>23</v>
      </c>
      <c r="I45" s="37"/>
      <c r="J45" s="37"/>
      <c r="K45" s="37"/>
      <c r="L45" s="37"/>
      <c r="M45" s="37"/>
      <c r="N45" s="37"/>
      <c r="O45" s="38" t="e">
        <f t="shared" si="3"/>
        <v>#REF!</v>
      </c>
      <c r="P45" s="37"/>
      <c r="Q45" s="37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37" t="e">
        <f t="shared" ref="B46:G46" si="41">+#REF!</f>
        <v>#REF!</v>
      </c>
      <c r="C46" s="38" t="e">
        <f t="shared" si="41"/>
        <v>#REF!</v>
      </c>
      <c r="D46" s="38" t="e">
        <f t="shared" si="41"/>
        <v>#REF!</v>
      </c>
      <c r="E46" s="37" t="e">
        <f t="shared" si="41"/>
        <v>#REF!</v>
      </c>
      <c r="F46" s="39" t="e">
        <f t="shared" si="41"/>
        <v>#REF!</v>
      </c>
      <c r="G46" s="39" t="e">
        <f t="shared" si="41"/>
        <v>#REF!</v>
      </c>
      <c r="H46" s="37">
        <v>23</v>
      </c>
      <c r="I46" s="37"/>
      <c r="J46" s="37"/>
      <c r="K46" s="37"/>
      <c r="L46" s="37"/>
      <c r="M46" s="37"/>
      <c r="N46" s="37"/>
      <c r="O46" s="38" t="e">
        <f t="shared" si="3"/>
        <v>#REF!</v>
      </c>
      <c r="P46" s="37"/>
      <c r="Q46" s="37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37" t="e">
        <f t="shared" ref="B47:G47" si="42">+#REF!</f>
        <v>#REF!</v>
      </c>
      <c r="C47" s="38" t="e">
        <f t="shared" si="42"/>
        <v>#REF!</v>
      </c>
      <c r="D47" s="38" t="e">
        <f t="shared" si="42"/>
        <v>#REF!</v>
      </c>
      <c r="E47" s="37" t="e">
        <f t="shared" si="42"/>
        <v>#REF!</v>
      </c>
      <c r="F47" s="39" t="e">
        <f t="shared" si="42"/>
        <v>#REF!</v>
      </c>
      <c r="G47" s="39" t="e">
        <f t="shared" si="42"/>
        <v>#REF!</v>
      </c>
      <c r="H47" s="37">
        <v>23</v>
      </c>
      <c r="I47" s="37"/>
      <c r="J47" s="37"/>
      <c r="K47" s="37"/>
      <c r="L47" s="37"/>
      <c r="M47" s="37"/>
      <c r="N47" s="37"/>
      <c r="O47" s="38" t="e">
        <f t="shared" si="3"/>
        <v>#REF!</v>
      </c>
      <c r="P47" s="37"/>
      <c r="Q47" s="37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37" t="e">
        <f t="shared" ref="B48:G48" si="43">+#REF!</f>
        <v>#REF!</v>
      </c>
      <c r="C48" s="38" t="e">
        <f t="shared" si="43"/>
        <v>#REF!</v>
      </c>
      <c r="D48" s="38" t="e">
        <f t="shared" si="43"/>
        <v>#REF!</v>
      </c>
      <c r="E48" s="37" t="e">
        <f t="shared" si="43"/>
        <v>#REF!</v>
      </c>
      <c r="F48" s="39" t="e">
        <f t="shared" si="43"/>
        <v>#REF!</v>
      </c>
      <c r="G48" s="39" t="e">
        <f t="shared" si="43"/>
        <v>#REF!</v>
      </c>
      <c r="H48" s="37">
        <v>23</v>
      </c>
      <c r="I48" s="37"/>
      <c r="J48" s="37"/>
      <c r="K48" s="37"/>
      <c r="L48" s="37"/>
      <c r="M48" s="37"/>
      <c r="N48" s="37"/>
      <c r="O48" s="38" t="e">
        <f t="shared" si="3"/>
        <v>#REF!</v>
      </c>
      <c r="P48" s="37"/>
      <c r="Q48" s="37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37" t="e">
        <f t="shared" ref="B49:G49" si="44">+#REF!</f>
        <v>#REF!</v>
      </c>
      <c r="C49" s="38" t="e">
        <f t="shared" si="44"/>
        <v>#REF!</v>
      </c>
      <c r="D49" s="38" t="e">
        <f t="shared" si="44"/>
        <v>#REF!</v>
      </c>
      <c r="E49" s="37" t="e">
        <f t="shared" si="44"/>
        <v>#REF!</v>
      </c>
      <c r="F49" s="39" t="e">
        <f t="shared" si="44"/>
        <v>#REF!</v>
      </c>
      <c r="G49" s="39" t="e">
        <f t="shared" si="44"/>
        <v>#REF!</v>
      </c>
      <c r="H49" s="37">
        <v>23</v>
      </c>
      <c r="I49" s="37"/>
      <c r="J49" s="37"/>
      <c r="K49" s="37"/>
      <c r="L49" s="37"/>
      <c r="M49" s="37"/>
      <c r="N49" s="37"/>
      <c r="O49" s="38" t="e">
        <f t="shared" si="3"/>
        <v>#REF!</v>
      </c>
      <c r="P49" s="37"/>
      <c r="Q49" s="37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37" t="e">
        <f t="shared" ref="B50:G50" si="45">+#REF!</f>
        <v>#REF!</v>
      </c>
      <c r="C50" s="38" t="e">
        <f t="shared" si="45"/>
        <v>#REF!</v>
      </c>
      <c r="D50" s="38" t="e">
        <f t="shared" si="45"/>
        <v>#REF!</v>
      </c>
      <c r="E50" s="37" t="e">
        <f t="shared" si="45"/>
        <v>#REF!</v>
      </c>
      <c r="F50" s="39" t="e">
        <f t="shared" si="45"/>
        <v>#REF!</v>
      </c>
      <c r="G50" s="39" t="e">
        <f t="shared" si="45"/>
        <v>#REF!</v>
      </c>
      <c r="H50" s="37">
        <v>23</v>
      </c>
      <c r="I50" s="37"/>
      <c r="J50" s="37"/>
      <c r="K50" s="37"/>
      <c r="L50" s="37"/>
      <c r="M50" s="37"/>
      <c r="N50" s="37"/>
      <c r="O50" s="38" t="e">
        <f t="shared" si="3"/>
        <v>#REF!</v>
      </c>
      <c r="P50" s="37"/>
      <c r="Q50" s="37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37" t="e">
        <f t="shared" ref="B51:G51" si="46">+#REF!</f>
        <v>#REF!</v>
      </c>
      <c r="C51" s="38" t="e">
        <f t="shared" si="46"/>
        <v>#REF!</v>
      </c>
      <c r="D51" s="38" t="e">
        <f t="shared" si="46"/>
        <v>#REF!</v>
      </c>
      <c r="E51" s="37" t="e">
        <f t="shared" si="46"/>
        <v>#REF!</v>
      </c>
      <c r="F51" s="39" t="e">
        <f t="shared" si="46"/>
        <v>#REF!</v>
      </c>
      <c r="G51" s="39" t="e">
        <f t="shared" si="46"/>
        <v>#REF!</v>
      </c>
      <c r="H51" s="37">
        <v>23</v>
      </c>
      <c r="I51" s="37"/>
      <c r="J51" s="37"/>
      <c r="K51" s="37"/>
      <c r="L51" s="37"/>
      <c r="M51" s="37"/>
      <c r="N51" s="37"/>
      <c r="O51" s="38" t="e">
        <f t="shared" si="3"/>
        <v>#REF!</v>
      </c>
      <c r="P51" s="37"/>
      <c r="Q51" s="37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37" t="e">
        <f t="shared" ref="B52:G52" si="47">+#REF!</f>
        <v>#REF!</v>
      </c>
      <c r="C52" s="38" t="e">
        <f t="shared" si="47"/>
        <v>#REF!</v>
      </c>
      <c r="D52" s="38" t="e">
        <f t="shared" si="47"/>
        <v>#REF!</v>
      </c>
      <c r="E52" s="37" t="e">
        <f t="shared" si="47"/>
        <v>#REF!</v>
      </c>
      <c r="F52" s="39" t="e">
        <f t="shared" si="47"/>
        <v>#REF!</v>
      </c>
      <c r="G52" s="39" t="e">
        <f t="shared" si="47"/>
        <v>#REF!</v>
      </c>
      <c r="H52" s="37">
        <v>23</v>
      </c>
      <c r="I52" s="37"/>
      <c r="J52" s="37"/>
      <c r="K52" s="37"/>
      <c r="L52" s="37"/>
      <c r="M52" s="37"/>
      <c r="N52" s="37"/>
      <c r="O52" s="38" t="e">
        <f t="shared" si="3"/>
        <v>#REF!</v>
      </c>
      <c r="P52" s="37"/>
      <c r="Q52" s="37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37" t="e">
        <f t="shared" ref="B53:G53" si="48">+#REF!</f>
        <v>#REF!</v>
      </c>
      <c r="C53" s="38" t="e">
        <f t="shared" si="48"/>
        <v>#REF!</v>
      </c>
      <c r="D53" s="38" t="e">
        <f t="shared" si="48"/>
        <v>#REF!</v>
      </c>
      <c r="E53" s="37" t="e">
        <f t="shared" si="48"/>
        <v>#REF!</v>
      </c>
      <c r="F53" s="39" t="e">
        <f t="shared" si="48"/>
        <v>#REF!</v>
      </c>
      <c r="G53" s="39" t="e">
        <f t="shared" si="48"/>
        <v>#REF!</v>
      </c>
      <c r="H53" s="37">
        <v>23</v>
      </c>
      <c r="I53" s="37"/>
      <c r="J53" s="37"/>
      <c r="K53" s="37"/>
      <c r="L53" s="37"/>
      <c r="M53" s="37"/>
      <c r="N53" s="37"/>
      <c r="O53" s="38" t="e">
        <f t="shared" si="3"/>
        <v>#REF!</v>
      </c>
      <c r="P53" s="37"/>
      <c r="Q53" s="37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37"/>
      <c r="C54" s="38"/>
      <c r="D54" s="38"/>
      <c r="E54" s="37"/>
      <c r="F54" s="39"/>
      <c r="G54" s="39"/>
      <c r="H54" s="37"/>
      <c r="I54" s="37"/>
      <c r="J54" s="37"/>
      <c r="K54" s="37"/>
      <c r="L54" s="37"/>
      <c r="M54" s="37"/>
      <c r="N54" s="37"/>
      <c r="O54" s="38"/>
      <c r="P54" s="37"/>
      <c r="Q54" s="37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37"/>
      <c r="C55" s="38"/>
      <c r="D55" s="38"/>
      <c r="E55" s="37"/>
      <c r="F55" s="39"/>
      <c r="G55" s="39"/>
      <c r="H55" s="37"/>
      <c r="I55" s="37"/>
      <c r="J55" s="37"/>
      <c r="K55" s="37"/>
      <c r="L55" s="37"/>
      <c r="M55" s="37"/>
      <c r="N55" s="37"/>
      <c r="O55" s="38"/>
      <c r="P55" s="37"/>
      <c r="Q55" s="37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34" t="e">
        <f>+#REF!</f>
        <v>#REF!</v>
      </c>
      <c r="C56" s="38"/>
      <c r="D56" s="38"/>
      <c r="E56" s="37"/>
      <c r="F56" s="39"/>
      <c r="G56" s="39"/>
      <c r="H56" s="37"/>
      <c r="I56" s="37"/>
      <c r="J56" s="37"/>
      <c r="K56" s="37"/>
      <c r="L56" s="37"/>
      <c r="M56" s="37"/>
      <c r="N56" s="37"/>
      <c r="O56" s="38"/>
      <c r="P56" s="37"/>
      <c r="Q56" s="37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3" t="s">
        <v>11</v>
      </c>
      <c r="B57" s="34" t="s">
        <v>11</v>
      </c>
      <c r="C57" s="35" t="s">
        <v>12</v>
      </c>
      <c r="D57" s="35" t="s">
        <v>13</v>
      </c>
      <c r="E57" s="34" t="s">
        <v>14</v>
      </c>
      <c r="F57" s="34" t="s">
        <v>15</v>
      </c>
      <c r="G57" s="36" t="s">
        <v>16</v>
      </c>
      <c r="H57" s="34" t="s">
        <v>19</v>
      </c>
      <c r="I57" s="34" t="s">
        <v>20</v>
      </c>
      <c r="J57" s="34" t="s">
        <v>678</v>
      </c>
      <c r="K57" s="34" t="s">
        <v>21</v>
      </c>
      <c r="L57" s="34" t="s">
        <v>679</v>
      </c>
      <c r="M57" s="34"/>
      <c r="N57" s="34" t="s">
        <v>22</v>
      </c>
      <c r="O57" s="35" t="s">
        <v>681</v>
      </c>
      <c r="P57" s="37"/>
      <c r="Q57" s="37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 t="e">
        <f t="shared" ref="A58:G58" si="49">+#REF!</f>
        <v>#REF!</v>
      </c>
      <c r="B58" s="37" t="e">
        <f t="shared" si="49"/>
        <v>#REF!</v>
      </c>
      <c r="C58" s="38" t="e">
        <f t="shared" si="49"/>
        <v>#REF!</v>
      </c>
      <c r="D58" s="38" t="e">
        <f t="shared" si="49"/>
        <v>#REF!</v>
      </c>
      <c r="E58" s="37" t="e">
        <f t="shared" si="49"/>
        <v>#REF!</v>
      </c>
      <c r="F58" s="39" t="e">
        <f t="shared" si="49"/>
        <v>#REF!</v>
      </c>
      <c r="G58" s="39" t="e">
        <f t="shared" si="49"/>
        <v>#REF!</v>
      </c>
      <c r="H58" s="37">
        <v>45</v>
      </c>
      <c r="I58" s="37"/>
      <c r="J58" s="37"/>
      <c r="K58" s="37">
        <v>5</v>
      </c>
      <c r="L58" s="37">
        <v>5</v>
      </c>
      <c r="M58" s="37"/>
      <c r="N58" s="37">
        <f t="shared" ref="N58:N67" si="50">SUM(H58:L58)</f>
        <v>55</v>
      </c>
      <c r="O58" s="38" t="e">
        <f t="shared" ref="O58:O67" si="51">+#REF!</f>
        <v>#REF!</v>
      </c>
      <c r="P58" s="37">
        <v>56</v>
      </c>
      <c r="Q58" s="37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e">
        <f t="shared" ref="A59:G59" si="52">+#REF!</f>
        <v>#REF!</v>
      </c>
      <c r="B59" s="37" t="e">
        <f t="shared" si="52"/>
        <v>#REF!</v>
      </c>
      <c r="C59" s="38" t="e">
        <f t="shared" si="52"/>
        <v>#REF!</v>
      </c>
      <c r="D59" s="38" t="e">
        <f t="shared" si="52"/>
        <v>#REF!</v>
      </c>
      <c r="E59" s="37" t="e">
        <f t="shared" si="52"/>
        <v>#REF!</v>
      </c>
      <c r="F59" s="39" t="e">
        <f t="shared" si="52"/>
        <v>#REF!</v>
      </c>
      <c r="G59" s="39" t="e">
        <f t="shared" si="52"/>
        <v>#REF!</v>
      </c>
      <c r="H59" s="37">
        <v>25</v>
      </c>
      <c r="I59" s="37"/>
      <c r="J59" s="37"/>
      <c r="K59" s="37">
        <v>2</v>
      </c>
      <c r="L59" s="37">
        <v>3</v>
      </c>
      <c r="M59" s="37"/>
      <c r="N59" s="37">
        <f t="shared" si="50"/>
        <v>30</v>
      </c>
      <c r="O59" s="38" t="e">
        <f t="shared" si="51"/>
        <v>#REF!</v>
      </c>
      <c r="P59" s="37">
        <v>60</v>
      </c>
      <c r="Q59" s="34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2" t="e">
        <f t="shared" ref="A60:G60" si="53">+#REF!</f>
        <v>#REF!</v>
      </c>
      <c r="B60" s="37" t="e">
        <f t="shared" si="53"/>
        <v>#REF!</v>
      </c>
      <c r="C60" s="38" t="e">
        <f t="shared" si="53"/>
        <v>#REF!</v>
      </c>
      <c r="D60" s="38" t="e">
        <f t="shared" si="53"/>
        <v>#REF!</v>
      </c>
      <c r="E60" s="37" t="e">
        <f t="shared" si="53"/>
        <v>#REF!</v>
      </c>
      <c r="F60" s="39" t="e">
        <f t="shared" si="53"/>
        <v>#REF!</v>
      </c>
      <c r="G60" s="39" t="e">
        <f t="shared" si="53"/>
        <v>#REF!</v>
      </c>
      <c r="H60" s="37">
        <v>25</v>
      </c>
      <c r="I60" s="37"/>
      <c r="J60" s="37"/>
      <c r="K60" s="37">
        <v>2</v>
      </c>
      <c r="L60" s="37">
        <v>3</v>
      </c>
      <c r="M60" s="37"/>
      <c r="N60" s="37">
        <f t="shared" si="50"/>
        <v>30</v>
      </c>
      <c r="O60" s="38" t="e">
        <f t="shared" si="51"/>
        <v>#REF!</v>
      </c>
      <c r="P60" s="37">
        <v>45</v>
      </c>
      <c r="Q60" s="37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 t="e">
        <f t="shared" ref="A61:G61" si="54">+#REF!</f>
        <v>#REF!</v>
      </c>
      <c r="B61" s="37" t="e">
        <f t="shared" si="54"/>
        <v>#REF!</v>
      </c>
      <c r="C61" s="38" t="e">
        <f t="shared" si="54"/>
        <v>#REF!</v>
      </c>
      <c r="D61" s="38" t="e">
        <f t="shared" si="54"/>
        <v>#REF!</v>
      </c>
      <c r="E61" s="37" t="e">
        <f t="shared" si="54"/>
        <v>#REF!</v>
      </c>
      <c r="F61" s="39" t="e">
        <f t="shared" si="54"/>
        <v>#REF!</v>
      </c>
      <c r="G61" s="39" t="e">
        <f t="shared" si="54"/>
        <v>#REF!</v>
      </c>
      <c r="H61" s="37">
        <v>30</v>
      </c>
      <c r="I61" s="37"/>
      <c r="J61" s="37"/>
      <c r="K61" s="37">
        <v>3</v>
      </c>
      <c r="L61" s="37">
        <v>2</v>
      </c>
      <c r="M61" s="37"/>
      <c r="N61" s="37">
        <f t="shared" si="50"/>
        <v>35</v>
      </c>
      <c r="O61" s="38" t="e">
        <f t="shared" si="51"/>
        <v>#REF!</v>
      </c>
      <c r="P61" s="37">
        <v>60</v>
      </c>
      <c r="Q61" s="37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e">
        <f t="shared" ref="A62:G62" si="55">+#REF!</f>
        <v>#REF!</v>
      </c>
      <c r="B62" s="37" t="e">
        <f t="shared" si="55"/>
        <v>#REF!</v>
      </c>
      <c r="C62" s="38" t="e">
        <f t="shared" si="55"/>
        <v>#REF!</v>
      </c>
      <c r="D62" s="38" t="e">
        <f t="shared" si="55"/>
        <v>#REF!</v>
      </c>
      <c r="E62" s="37" t="e">
        <f t="shared" si="55"/>
        <v>#REF!</v>
      </c>
      <c r="F62" s="39" t="e">
        <f t="shared" si="55"/>
        <v>#REF!</v>
      </c>
      <c r="G62" s="39" t="e">
        <f t="shared" si="55"/>
        <v>#REF!</v>
      </c>
      <c r="H62" s="37">
        <v>55</v>
      </c>
      <c r="I62" s="37"/>
      <c r="J62" s="37"/>
      <c r="K62" s="37">
        <v>5</v>
      </c>
      <c r="L62" s="37">
        <v>5</v>
      </c>
      <c r="M62" s="37"/>
      <c r="N62" s="37">
        <f t="shared" si="50"/>
        <v>65</v>
      </c>
      <c r="O62" s="38" t="e">
        <f t="shared" si="51"/>
        <v>#REF!</v>
      </c>
      <c r="P62" s="37">
        <v>100</v>
      </c>
      <c r="Q62" s="37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e">
        <f t="shared" ref="A63:G63" si="56">+#REF!</f>
        <v>#REF!</v>
      </c>
      <c r="B63" s="37" t="e">
        <f t="shared" si="56"/>
        <v>#REF!</v>
      </c>
      <c r="C63" s="38" t="e">
        <f t="shared" si="56"/>
        <v>#REF!</v>
      </c>
      <c r="D63" s="38" t="e">
        <f t="shared" si="56"/>
        <v>#REF!</v>
      </c>
      <c r="E63" s="37" t="e">
        <f t="shared" si="56"/>
        <v>#REF!</v>
      </c>
      <c r="F63" s="39" t="e">
        <f t="shared" si="56"/>
        <v>#REF!</v>
      </c>
      <c r="G63" s="39" t="e">
        <f t="shared" si="56"/>
        <v>#REF!</v>
      </c>
      <c r="H63" s="37">
        <v>20</v>
      </c>
      <c r="I63" s="37"/>
      <c r="J63" s="37"/>
      <c r="K63" s="37">
        <v>5</v>
      </c>
      <c r="L63" s="37">
        <v>5</v>
      </c>
      <c r="M63" s="37"/>
      <c r="N63" s="37">
        <f t="shared" si="50"/>
        <v>30</v>
      </c>
      <c r="O63" s="38" t="e">
        <f t="shared" si="51"/>
        <v>#REF!</v>
      </c>
      <c r="P63" s="37">
        <v>56</v>
      </c>
      <c r="Q63" s="37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 t="e">
        <f t="shared" ref="A64:G64" si="57">+#REF!</f>
        <v>#REF!</v>
      </c>
      <c r="B64" s="37" t="e">
        <f t="shared" si="57"/>
        <v>#REF!</v>
      </c>
      <c r="C64" s="38" t="e">
        <f t="shared" si="57"/>
        <v>#REF!</v>
      </c>
      <c r="D64" s="38" t="e">
        <f t="shared" si="57"/>
        <v>#REF!</v>
      </c>
      <c r="E64" s="37" t="e">
        <f t="shared" si="57"/>
        <v>#REF!</v>
      </c>
      <c r="F64" s="39" t="e">
        <f t="shared" si="57"/>
        <v>#REF!</v>
      </c>
      <c r="G64" s="39" t="e">
        <f t="shared" si="57"/>
        <v>#REF!</v>
      </c>
      <c r="H64" s="37">
        <v>50</v>
      </c>
      <c r="I64" s="37"/>
      <c r="J64" s="37"/>
      <c r="K64" s="37">
        <v>5</v>
      </c>
      <c r="L64" s="37">
        <v>2</v>
      </c>
      <c r="M64" s="37"/>
      <c r="N64" s="37">
        <f t="shared" si="50"/>
        <v>57</v>
      </c>
      <c r="O64" s="38" t="e">
        <f t="shared" si="51"/>
        <v>#REF!</v>
      </c>
      <c r="P64" s="37">
        <v>75</v>
      </c>
      <c r="Q64" s="37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 t="e">
        <f t="shared" ref="A65:G65" si="58">+#REF!</f>
        <v>#REF!</v>
      </c>
      <c r="B65" s="37" t="e">
        <f t="shared" si="58"/>
        <v>#REF!</v>
      </c>
      <c r="C65" s="38" t="e">
        <f t="shared" si="58"/>
        <v>#REF!</v>
      </c>
      <c r="D65" s="38" t="e">
        <f t="shared" si="58"/>
        <v>#REF!</v>
      </c>
      <c r="E65" s="37" t="e">
        <f t="shared" si="58"/>
        <v>#REF!</v>
      </c>
      <c r="F65" s="39" t="e">
        <f t="shared" si="58"/>
        <v>#REF!</v>
      </c>
      <c r="G65" s="39" t="e">
        <f t="shared" si="58"/>
        <v>#REF!</v>
      </c>
      <c r="H65" s="37">
        <v>60</v>
      </c>
      <c r="I65" s="37"/>
      <c r="J65" s="37"/>
      <c r="K65" s="37">
        <v>3</v>
      </c>
      <c r="L65" s="37">
        <v>2</v>
      </c>
      <c r="M65" s="37"/>
      <c r="N65" s="37">
        <f t="shared" si="50"/>
        <v>65</v>
      </c>
      <c r="O65" s="38" t="e">
        <f t="shared" si="51"/>
        <v>#REF!</v>
      </c>
      <c r="P65" s="37">
        <v>75</v>
      </c>
      <c r="Q65" s="37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37" t="e">
        <f t="shared" ref="B66:G66" si="59">+#REF!</f>
        <v>#REF!</v>
      </c>
      <c r="C66" s="38" t="e">
        <f t="shared" si="59"/>
        <v>#REF!</v>
      </c>
      <c r="D66" s="38" t="e">
        <f t="shared" si="59"/>
        <v>#REF!</v>
      </c>
      <c r="E66" s="37" t="e">
        <f t="shared" si="59"/>
        <v>#REF!</v>
      </c>
      <c r="F66" s="39" t="e">
        <f t="shared" si="59"/>
        <v>#REF!</v>
      </c>
      <c r="G66" s="39" t="e">
        <f t="shared" si="59"/>
        <v>#REF!</v>
      </c>
      <c r="H66" s="37">
        <v>50</v>
      </c>
      <c r="I66" s="37"/>
      <c r="J66" s="37"/>
      <c r="K66" s="37">
        <v>5</v>
      </c>
      <c r="L66" s="37">
        <v>2</v>
      </c>
      <c r="M66" s="37"/>
      <c r="N66" s="37">
        <f t="shared" si="50"/>
        <v>57</v>
      </c>
      <c r="O66" s="38" t="e">
        <f t="shared" si="51"/>
        <v>#REF!</v>
      </c>
      <c r="P66" s="37">
        <v>100</v>
      </c>
      <c r="Q66" s="37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37" t="e">
        <f t="shared" ref="B67:G67" si="60">+#REF!</f>
        <v>#REF!</v>
      </c>
      <c r="C67" s="38" t="e">
        <f t="shared" si="60"/>
        <v>#REF!</v>
      </c>
      <c r="D67" s="38" t="e">
        <f t="shared" si="60"/>
        <v>#REF!</v>
      </c>
      <c r="E67" s="37" t="e">
        <f t="shared" si="60"/>
        <v>#REF!</v>
      </c>
      <c r="F67" s="39" t="e">
        <f t="shared" si="60"/>
        <v>#REF!</v>
      </c>
      <c r="G67" s="39" t="e">
        <f t="shared" si="60"/>
        <v>#REF!</v>
      </c>
      <c r="H67" s="37">
        <v>60</v>
      </c>
      <c r="I67" s="37"/>
      <c r="J67" s="37"/>
      <c r="K67" s="37">
        <v>3</v>
      </c>
      <c r="L67" s="37">
        <v>2</v>
      </c>
      <c r="M67" s="37"/>
      <c r="N67" s="37">
        <f t="shared" si="50"/>
        <v>65</v>
      </c>
      <c r="O67" s="38" t="e">
        <f t="shared" si="51"/>
        <v>#REF!</v>
      </c>
      <c r="P67" s="37">
        <v>100</v>
      </c>
      <c r="Q67" s="37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37"/>
      <c r="C68" s="38"/>
      <c r="D68" s="38"/>
      <c r="E68" s="37"/>
      <c r="F68" s="39"/>
      <c r="G68" s="39"/>
      <c r="H68" s="37"/>
      <c r="I68" s="37"/>
      <c r="J68" s="37"/>
      <c r="K68" s="37"/>
      <c r="L68" s="37"/>
      <c r="M68" s="37"/>
      <c r="N68" s="37"/>
      <c r="O68" s="38"/>
      <c r="P68" s="37"/>
      <c r="Q68" s="37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37"/>
      <c r="C69" s="38"/>
      <c r="D69" s="38"/>
      <c r="E69" s="37"/>
      <c r="F69" s="39"/>
      <c r="G69" s="39"/>
      <c r="H69" s="37"/>
      <c r="I69" s="37"/>
      <c r="J69" s="37"/>
      <c r="K69" s="37"/>
      <c r="L69" s="37"/>
      <c r="M69" s="37"/>
      <c r="N69" s="37"/>
      <c r="O69" s="38"/>
      <c r="P69" s="37"/>
      <c r="Q69" s="37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34" t="e">
        <f>+#REF!</f>
        <v>#REF!</v>
      </c>
      <c r="C70" s="38"/>
      <c r="D70" s="38"/>
      <c r="E70" s="37"/>
      <c r="F70" s="39"/>
      <c r="G70" s="39"/>
      <c r="H70" s="37"/>
      <c r="I70" s="37"/>
      <c r="J70" s="37"/>
      <c r="K70" s="37"/>
      <c r="L70" s="37"/>
      <c r="M70" s="37"/>
      <c r="N70" s="37"/>
      <c r="O70" s="38"/>
      <c r="P70" s="37"/>
      <c r="Q70" s="37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3" t="s">
        <v>11</v>
      </c>
      <c r="B71" s="34" t="s">
        <v>11</v>
      </c>
      <c r="C71" s="35" t="s">
        <v>12</v>
      </c>
      <c r="D71" s="35" t="s">
        <v>13</v>
      </c>
      <c r="E71" s="34" t="s">
        <v>14</v>
      </c>
      <c r="F71" s="34" t="s">
        <v>15</v>
      </c>
      <c r="G71" s="36" t="s">
        <v>16</v>
      </c>
      <c r="H71" s="34" t="s">
        <v>19</v>
      </c>
      <c r="I71" s="34" t="s">
        <v>20</v>
      </c>
      <c r="J71" s="34" t="s">
        <v>678</v>
      </c>
      <c r="K71" s="34" t="s">
        <v>21</v>
      </c>
      <c r="L71" s="34" t="s">
        <v>679</v>
      </c>
      <c r="M71" s="34"/>
      <c r="N71" s="34" t="s">
        <v>22</v>
      </c>
      <c r="O71" s="35" t="s">
        <v>681</v>
      </c>
      <c r="P71" s="37"/>
      <c r="Q71" s="37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 t="e">
        <f t="shared" ref="A72:G72" si="61">+#REF!</f>
        <v>#REF!</v>
      </c>
      <c r="B72" s="37" t="e">
        <f t="shared" si="61"/>
        <v>#REF!</v>
      </c>
      <c r="C72" s="38" t="e">
        <f t="shared" si="61"/>
        <v>#REF!</v>
      </c>
      <c r="D72" s="38" t="e">
        <f t="shared" si="61"/>
        <v>#REF!</v>
      </c>
      <c r="E72" s="37" t="e">
        <f t="shared" si="61"/>
        <v>#REF!</v>
      </c>
      <c r="F72" s="39" t="e">
        <f t="shared" si="61"/>
        <v>#REF!</v>
      </c>
      <c r="G72" s="39" t="e">
        <f t="shared" si="61"/>
        <v>#REF!</v>
      </c>
      <c r="H72" s="37">
        <v>50</v>
      </c>
      <c r="I72" s="37"/>
      <c r="J72" s="37"/>
      <c r="K72" s="37"/>
      <c r="L72" s="37"/>
      <c r="M72" s="37"/>
      <c r="N72" s="37">
        <f t="shared" ref="N72:N80" si="62">SUM(H72:L72)</f>
        <v>50</v>
      </c>
      <c r="O72" s="38" t="e">
        <f t="shared" ref="O72:O80" si="63">+#REF!</f>
        <v>#REF!</v>
      </c>
      <c r="P72" s="37">
        <v>75</v>
      </c>
      <c r="Q72" s="37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 t="e">
        <f t="shared" ref="A73:G73" si="64">+#REF!</f>
        <v>#REF!</v>
      </c>
      <c r="B73" s="37" t="e">
        <f t="shared" si="64"/>
        <v>#REF!</v>
      </c>
      <c r="C73" s="38" t="e">
        <f t="shared" si="64"/>
        <v>#REF!</v>
      </c>
      <c r="D73" s="38" t="e">
        <f t="shared" si="64"/>
        <v>#REF!</v>
      </c>
      <c r="E73" s="37" t="e">
        <f t="shared" si="64"/>
        <v>#REF!</v>
      </c>
      <c r="F73" s="39" t="e">
        <f t="shared" si="64"/>
        <v>#REF!</v>
      </c>
      <c r="G73" s="39" t="e">
        <f t="shared" si="64"/>
        <v>#REF!</v>
      </c>
      <c r="H73" s="37">
        <v>50</v>
      </c>
      <c r="I73" s="37"/>
      <c r="J73" s="37"/>
      <c r="K73" s="37"/>
      <c r="L73" s="37"/>
      <c r="M73" s="37"/>
      <c r="N73" s="37">
        <f t="shared" si="62"/>
        <v>50</v>
      </c>
      <c r="O73" s="38" t="e">
        <f t="shared" si="63"/>
        <v>#REF!</v>
      </c>
      <c r="P73" s="37">
        <v>75</v>
      </c>
      <c r="Q73" s="37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 t="e">
        <f t="shared" ref="A74:G74" si="65">+#REF!</f>
        <v>#REF!</v>
      </c>
      <c r="B74" s="37" t="e">
        <f t="shared" si="65"/>
        <v>#REF!</v>
      </c>
      <c r="C74" s="38" t="e">
        <f t="shared" si="65"/>
        <v>#REF!</v>
      </c>
      <c r="D74" s="38" t="e">
        <f t="shared" si="65"/>
        <v>#REF!</v>
      </c>
      <c r="E74" s="37" t="e">
        <f t="shared" si="65"/>
        <v>#REF!</v>
      </c>
      <c r="F74" s="39" t="e">
        <f t="shared" si="65"/>
        <v>#REF!</v>
      </c>
      <c r="G74" s="39" t="e">
        <f t="shared" si="65"/>
        <v>#REF!</v>
      </c>
      <c r="H74" s="37">
        <v>35</v>
      </c>
      <c r="I74" s="37"/>
      <c r="J74" s="37"/>
      <c r="K74" s="37"/>
      <c r="L74" s="37"/>
      <c r="M74" s="37"/>
      <c r="N74" s="37">
        <f t="shared" si="62"/>
        <v>35</v>
      </c>
      <c r="O74" s="38" t="e">
        <f t="shared" si="63"/>
        <v>#REF!</v>
      </c>
      <c r="P74" s="37">
        <v>56</v>
      </c>
      <c r="Q74" s="37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 t="e">
        <f t="shared" ref="A75:G75" si="66">+#REF!</f>
        <v>#REF!</v>
      </c>
      <c r="B75" s="37" t="e">
        <f t="shared" si="66"/>
        <v>#REF!</v>
      </c>
      <c r="C75" s="38" t="e">
        <f t="shared" si="66"/>
        <v>#REF!</v>
      </c>
      <c r="D75" s="38" t="e">
        <f t="shared" si="66"/>
        <v>#REF!</v>
      </c>
      <c r="E75" s="37" t="e">
        <f t="shared" si="66"/>
        <v>#REF!</v>
      </c>
      <c r="F75" s="39" t="e">
        <f t="shared" si="66"/>
        <v>#REF!</v>
      </c>
      <c r="G75" s="39" t="e">
        <f t="shared" si="66"/>
        <v>#REF!</v>
      </c>
      <c r="H75" s="37">
        <v>35</v>
      </c>
      <c r="I75" s="37"/>
      <c r="J75" s="37"/>
      <c r="K75" s="37"/>
      <c r="L75" s="37"/>
      <c r="M75" s="37"/>
      <c r="N75" s="37">
        <f t="shared" si="62"/>
        <v>35</v>
      </c>
      <c r="O75" s="38" t="e">
        <f t="shared" si="63"/>
        <v>#REF!</v>
      </c>
      <c r="P75" s="37">
        <v>110</v>
      </c>
      <c r="Q75" s="37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 t="e">
        <f t="shared" ref="A76:G76" si="67">+#REF!</f>
        <v>#REF!</v>
      </c>
      <c r="B76" s="37" t="e">
        <f t="shared" si="67"/>
        <v>#REF!</v>
      </c>
      <c r="C76" s="38" t="e">
        <f t="shared" si="67"/>
        <v>#REF!</v>
      </c>
      <c r="D76" s="38" t="e">
        <f t="shared" si="67"/>
        <v>#REF!</v>
      </c>
      <c r="E76" s="37" t="e">
        <f t="shared" si="67"/>
        <v>#REF!</v>
      </c>
      <c r="F76" s="39" t="e">
        <f t="shared" si="67"/>
        <v>#REF!</v>
      </c>
      <c r="G76" s="39" t="e">
        <f t="shared" si="67"/>
        <v>#REF!</v>
      </c>
      <c r="H76" s="37">
        <v>35</v>
      </c>
      <c r="I76" s="37"/>
      <c r="J76" s="37"/>
      <c r="K76" s="37"/>
      <c r="L76" s="37"/>
      <c r="M76" s="37"/>
      <c r="N76" s="37">
        <f t="shared" si="62"/>
        <v>35</v>
      </c>
      <c r="O76" s="38" t="e">
        <f t="shared" si="63"/>
        <v>#REF!</v>
      </c>
      <c r="P76" s="37">
        <v>56</v>
      </c>
      <c r="Q76" s="37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 t="e">
        <f t="shared" ref="A77:G77" si="68">+#REF!</f>
        <v>#REF!</v>
      </c>
      <c r="B77" s="37" t="e">
        <f t="shared" si="68"/>
        <v>#REF!</v>
      </c>
      <c r="C77" s="38" t="e">
        <f t="shared" si="68"/>
        <v>#REF!</v>
      </c>
      <c r="D77" s="38" t="e">
        <f t="shared" si="68"/>
        <v>#REF!</v>
      </c>
      <c r="E77" s="37" t="e">
        <f t="shared" si="68"/>
        <v>#REF!</v>
      </c>
      <c r="F77" s="39" t="e">
        <f t="shared" si="68"/>
        <v>#REF!</v>
      </c>
      <c r="G77" s="39" t="e">
        <f t="shared" si="68"/>
        <v>#REF!</v>
      </c>
      <c r="H77" s="37">
        <v>60</v>
      </c>
      <c r="I77" s="37"/>
      <c r="J77" s="37"/>
      <c r="K77" s="37">
        <v>5</v>
      </c>
      <c r="L77" s="37"/>
      <c r="M77" s="37"/>
      <c r="N77" s="37">
        <f t="shared" si="62"/>
        <v>65</v>
      </c>
      <c r="O77" s="38" t="e">
        <f t="shared" si="63"/>
        <v>#REF!</v>
      </c>
      <c r="P77" s="37">
        <v>80</v>
      </c>
      <c r="Q77" s="37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 t="e">
        <f t="shared" ref="A78:G78" si="69">+#REF!</f>
        <v>#REF!</v>
      </c>
      <c r="B78" s="37" t="e">
        <f t="shared" si="69"/>
        <v>#REF!</v>
      </c>
      <c r="C78" s="38" t="e">
        <f t="shared" si="69"/>
        <v>#REF!</v>
      </c>
      <c r="D78" s="38" t="e">
        <f t="shared" si="69"/>
        <v>#REF!</v>
      </c>
      <c r="E78" s="37" t="e">
        <f t="shared" si="69"/>
        <v>#REF!</v>
      </c>
      <c r="F78" s="39" t="e">
        <f t="shared" si="69"/>
        <v>#REF!</v>
      </c>
      <c r="G78" s="39" t="e">
        <f t="shared" si="69"/>
        <v>#REF!</v>
      </c>
      <c r="H78" s="37">
        <v>60</v>
      </c>
      <c r="I78" s="37"/>
      <c r="J78" s="37"/>
      <c r="K78" s="37">
        <v>5</v>
      </c>
      <c r="L78" s="37"/>
      <c r="M78" s="37"/>
      <c r="N78" s="37">
        <f t="shared" si="62"/>
        <v>65</v>
      </c>
      <c r="O78" s="38" t="e">
        <f t="shared" si="63"/>
        <v>#REF!</v>
      </c>
      <c r="P78" s="37">
        <v>80</v>
      </c>
      <c r="Q78" s="37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 t="e">
        <f t="shared" ref="A79:G79" si="70">+#REF!</f>
        <v>#REF!</v>
      </c>
      <c r="B79" s="37" t="e">
        <f t="shared" si="70"/>
        <v>#REF!</v>
      </c>
      <c r="C79" s="38" t="e">
        <f t="shared" si="70"/>
        <v>#REF!</v>
      </c>
      <c r="D79" s="38" t="e">
        <f t="shared" si="70"/>
        <v>#REF!</v>
      </c>
      <c r="E79" s="37" t="e">
        <f t="shared" si="70"/>
        <v>#REF!</v>
      </c>
      <c r="F79" s="39" t="e">
        <f t="shared" si="70"/>
        <v>#REF!</v>
      </c>
      <c r="G79" s="39" t="e">
        <f t="shared" si="70"/>
        <v>#REF!</v>
      </c>
      <c r="H79" s="37">
        <v>60</v>
      </c>
      <c r="I79" s="37"/>
      <c r="J79" s="37"/>
      <c r="K79" s="37"/>
      <c r="L79" s="37"/>
      <c r="M79" s="37"/>
      <c r="N79" s="37">
        <f t="shared" si="62"/>
        <v>60</v>
      </c>
      <c r="O79" s="38" t="e">
        <f t="shared" si="63"/>
        <v>#REF!</v>
      </c>
      <c r="P79" s="37">
        <v>110</v>
      </c>
      <c r="Q79" s="37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 t="e">
        <f t="shared" ref="A80:G80" si="71">+#REF!</f>
        <v>#REF!</v>
      </c>
      <c r="B80" s="37" t="e">
        <f t="shared" si="71"/>
        <v>#REF!</v>
      </c>
      <c r="C80" s="38" t="e">
        <f t="shared" si="71"/>
        <v>#REF!</v>
      </c>
      <c r="D80" s="38" t="e">
        <f t="shared" si="71"/>
        <v>#REF!</v>
      </c>
      <c r="E80" s="37" t="e">
        <f t="shared" si="71"/>
        <v>#REF!</v>
      </c>
      <c r="F80" s="39" t="e">
        <f t="shared" si="71"/>
        <v>#REF!</v>
      </c>
      <c r="G80" s="39" t="e">
        <f t="shared" si="71"/>
        <v>#REF!</v>
      </c>
      <c r="H80" s="37">
        <v>60</v>
      </c>
      <c r="I80" s="37"/>
      <c r="J80" s="37"/>
      <c r="K80" s="37"/>
      <c r="L80" s="37"/>
      <c r="M80" s="37"/>
      <c r="N80" s="37">
        <f t="shared" si="62"/>
        <v>60</v>
      </c>
      <c r="O80" s="38" t="e">
        <f t="shared" si="63"/>
        <v>#REF!</v>
      </c>
      <c r="P80" s="37">
        <v>110</v>
      </c>
      <c r="Q80" s="37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37"/>
      <c r="C81" s="38"/>
      <c r="D81" s="38"/>
      <c r="E81" s="37"/>
      <c r="F81" s="39"/>
      <c r="G81" s="39"/>
      <c r="H81" s="37"/>
      <c r="I81" s="37"/>
      <c r="J81" s="37"/>
      <c r="K81" s="37"/>
      <c r="L81" s="37"/>
      <c r="M81" s="37"/>
      <c r="N81" s="37"/>
      <c r="O81" s="38"/>
      <c r="P81" s="37"/>
      <c r="Q81" s="37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37"/>
      <c r="C82" s="38"/>
      <c r="D82" s="38"/>
      <c r="E82" s="37"/>
      <c r="F82" s="39"/>
      <c r="G82" s="39"/>
      <c r="H82" s="37"/>
      <c r="I82" s="37"/>
      <c r="J82" s="37"/>
      <c r="K82" s="37"/>
      <c r="L82" s="37"/>
      <c r="M82" s="37"/>
      <c r="N82" s="37"/>
      <c r="O82" s="38"/>
      <c r="P82" s="37"/>
      <c r="Q82" s="37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34" t="e">
        <f>+#REF!</f>
        <v>#REF!</v>
      </c>
      <c r="C83" s="38"/>
      <c r="D83" s="38"/>
      <c r="E83" s="37"/>
      <c r="F83" s="39"/>
      <c r="G83" s="39" t="e">
        <f>+#REF!</f>
        <v>#REF!</v>
      </c>
      <c r="H83" s="37"/>
      <c r="I83" s="37"/>
      <c r="J83" s="37"/>
      <c r="K83" s="37"/>
      <c r="L83" s="37"/>
      <c r="M83" s="37"/>
      <c r="N83" s="37"/>
      <c r="O83" s="38"/>
      <c r="P83" s="37"/>
      <c r="Q83" s="37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3" t="s">
        <v>11</v>
      </c>
      <c r="B84" s="34" t="s">
        <v>11</v>
      </c>
      <c r="C84" s="35" t="s">
        <v>12</v>
      </c>
      <c r="D84" s="35" t="s">
        <v>13</v>
      </c>
      <c r="E84" s="34" t="s">
        <v>14</v>
      </c>
      <c r="F84" s="34" t="s">
        <v>15</v>
      </c>
      <c r="G84" s="36" t="s">
        <v>16</v>
      </c>
      <c r="H84" s="34" t="s">
        <v>19</v>
      </c>
      <c r="I84" s="34" t="s">
        <v>20</v>
      </c>
      <c r="J84" s="34" t="s">
        <v>678</v>
      </c>
      <c r="K84" s="34" t="s">
        <v>21</v>
      </c>
      <c r="L84" s="34" t="s">
        <v>679</v>
      </c>
      <c r="M84" s="34"/>
      <c r="N84" s="34" t="s">
        <v>22</v>
      </c>
      <c r="O84" s="35" t="s">
        <v>681</v>
      </c>
      <c r="P84" s="37"/>
      <c r="Q84" s="37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 t="e">
        <f t="shared" ref="A85:G85" si="72">+#REF!</f>
        <v>#REF!</v>
      </c>
      <c r="B85" s="37" t="e">
        <f t="shared" si="72"/>
        <v>#REF!</v>
      </c>
      <c r="C85" s="38" t="e">
        <f t="shared" si="72"/>
        <v>#REF!</v>
      </c>
      <c r="D85" s="38" t="e">
        <f t="shared" si="72"/>
        <v>#REF!</v>
      </c>
      <c r="E85" s="37" t="e">
        <f t="shared" si="72"/>
        <v>#REF!</v>
      </c>
      <c r="F85" s="39" t="e">
        <f t="shared" si="72"/>
        <v>#REF!</v>
      </c>
      <c r="G85" s="39" t="e">
        <f t="shared" si="72"/>
        <v>#REF!</v>
      </c>
      <c r="H85" s="37">
        <v>60</v>
      </c>
      <c r="I85" s="37"/>
      <c r="J85" s="37"/>
      <c r="K85" s="37">
        <v>3</v>
      </c>
      <c r="L85" s="37"/>
      <c r="M85" s="37"/>
      <c r="N85" s="37">
        <f t="shared" ref="N85:N93" si="73">SUM(H85:L85)</f>
        <v>63</v>
      </c>
      <c r="O85" s="38" t="e">
        <f t="shared" ref="O85:O93" si="74">+#REF!</f>
        <v>#REF!</v>
      </c>
      <c r="P85" s="37">
        <v>120</v>
      </c>
      <c r="Q85" s="37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 t="e">
        <f t="shared" ref="A86:G86" si="75">+#REF!</f>
        <v>#REF!</v>
      </c>
      <c r="B86" s="37" t="e">
        <f t="shared" si="75"/>
        <v>#REF!</v>
      </c>
      <c r="C86" s="38" t="e">
        <f t="shared" si="75"/>
        <v>#REF!</v>
      </c>
      <c r="D86" s="38" t="e">
        <f t="shared" si="75"/>
        <v>#REF!</v>
      </c>
      <c r="E86" s="37" t="e">
        <f t="shared" si="75"/>
        <v>#REF!</v>
      </c>
      <c r="F86" s="39" t="e">
        <f t="shared" si="75"/>
        <v>#REF!</v>
      </c>
      <c r="G86" s="39" t="e">
        <f t="shared" si="75"/>
        <v>#REF!</v>
      </c>
      <c r="H86" s="37">
        <v>35</v>
      </c>
      <c r="I86" s="37"/>
      <c r="J86" s="37"/>
      <c r="K86" s="37">
        <v>5</v>
      </c>
      <c r="L86" s="37"/>
      <c r="M86" s="37"/>
      <c r="N86" s="37">
        <f t="shared" si="73"/>
        <v>40</v>
      </c>
      <c r="O86" s="38" t="e">
        <f t="shared" si="74"/>
        <v>#REF!</v>
      </c>
      <c r="P86" s="37">
        <v>45</v>
      </c>
      <c r="Q86" s="37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 t="e">
        <f t="shared" ref="A87:G87" si="76">+#REF!</f>
        <v>#REF!</v>
      </c>
      <c r="B87" s="37" t="e">
        <f t="shared" si="76"/>
        <v>#REF!</v>
      </c>
      <c r="C87" s="38" t="e">
        <f t="shared" si="76"/>
        <v>#REF!</v>
      </c>
      <c r="D87" s="38" t="e">
        <f t="shared" si="76"/>
        <v>#REF!</v>
      </c>
      <c r="E87" s="37" t="e">
        <f t="shared" si="76"/>
        <v>#REF!</v>
      </c>
      <c r="F87" s="39" t="e">
        <f t="shared" si="76"/>
        <v>#REF!</v>
      </c>
      <c r="G87" s="39" t="e">
        <f t="shared" si="76"/>
        <v>#REF!</v>
      </c>
      <c r="H87" s="37">
        <v>28</v>
      </c>
      <c r="I87" s="37"/>
      <c r="J87" s="37"/>
      <c r="K87" s="37">
        <v>2</v>
      </c>
      <c r="L87" s="37"/>
      <c r="M87" s="37"/>
      <c r="N87" s="37">
        <f t="shared" si="73"/>
        <v>30</v>
      </c>
      <c r="O87" s="38" t="e">
        <f t="shared" si="74"/>
        <v>#REF!</v>
      </c>
      <c r="P87" s="37">
        <v>56</v>
      </c>
      <c r="Q87" s="37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 t="e">
        <f t="shared" ref="A88:G88" si="77">+#REF!</f>
        <v>#REF!</v>
      </c>
      <c r="B88" s="37" t="e">
        <f t="shared" si="77"/>
        <v>#REF!</v>
      </c>
      <c r="C88" s="38" t="e">
        <f t="shared" si="77"/>
        <v>#REF!</v>
      </c>
      <c r="D88" s="38" t="e">
        <f t="shared" si="77"/>
        <v>#REF!</v>
      </c>
      <c r="E88" s="37" t="e">
        <f t="shared" si="77"/>
        <v>#REF!</v>
      </c>
      <c r="F88" s="39" t="e">
        <f t="shared" si="77"/>
        <v>#REF!</v>
      </c>
      <c r="G88" s="39" t="e">
        <f t="shared" si="77"/>
        <v>#REF!</v>
      </c>
      <c r="H88" s="37">
        <v>60</v>
      </c>
      <c r="I88" s="37"/>
      <c r="J88" s="37"/>
      <c r="K88" s="37">
        <v>5</v>
      </c>
      <c r="L88" s="37"/>
      <c r="M88" s="37"/>
      <c r="N88" s="37">
        <f t="shared" si="73"/>
        <v>65</v>
      </c>
      <c r="O88" s="38" t="e">
        <f t="shared" si="74"/>
        <v>#REF!</v>
      </c>
      <c r="P88" s="37">
        <v>80</v>
      </c>
      <c r="Q88" s="37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 t="e">
        <f t="shared" ref="A89:G89" si="78">+#REF!</f>
        <v>#REF!</v>
      </c>
      <c r="B89" s="37" t="e">
        <f t="shared" si="78"/>
        <v>#REF!</v>
      </c>
      <c r="C89" s="38" t="e">
        <f t="shared" si="78"/>
        <v>#REF!</v>
      </c>
      <c r="D89" s="38" t="e">
        <f t="shared" si="78"/>
        <v>#REF!</v>
      </c>
      <c r="E89" s="37" t="e">
        <f t="shared" si="78"/>
        <v>#REF!</v>
      </c>
      <c r="F89" s="39" t="e">
        <f t="shared" si="78"/>
        <v>#REF!</v>
      </c>
      <c r="G89" s="39" t="e">
        <f t="shared" si="78"/>
        <v>#REF!</v>
      </c>
      <c r="H89" s="37">
        <v>60</v>
      </c>
      <c r="I89" s="37"/>
      <c r="J89" s="37"/>
      <c r="K89" s="37">
        <v>5</v>
      </c>
      <c r="L89" s="37">
        <v>10</v>
      </c>
      <c r="M89" s="37"/>
      <c r="N89" s="37">
        <f t="shared" si="73"/>
        <v>75</v>
      </c>
      <c r="O89" s="38" t="e">
        <f t="shared" si="74"/>
        <v>#REF!</v>
      </c>
      <c r="P89" s="37">
        <v>110</v>
      </c>
      <c r="Q89" s="37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 t="e">
        <f t="shared" ref="A90:G90" si="79">+#REF!</f>
        <v>#REF!</v>
      </c>
      <c r="B90" s="37" t="e">
        <f t="shared" si="79"/>
        <v>#REF!</v>
      </c>
      <c r="C90" s="38" t="e">
        <f t="shared" si="79"/>
        <v>#REF!</v>
      </c>
      <c r="D90" s="38" t="e">
        <f t="shared" si="79"/>
        <v>#REF!</v>
      </c>
      <c r="E90" s="37" t="e">
        <f t="shared" si="79"/>
        <v>#REF!</v>
      </c>
      <c r="F90" s="39" t="e">
        <f t="shared" si="79"/>
        <v>#REF!</v>
      </c>
      <c r="G90" s="39" t="e">
        <f t="shared" si="79"/>
        <v>#REF!</v>
      </c>
      <c r="H90" s="37">
        <v>60</v>
      </c>
      <c r="I90" s="37"/>
      <c r="J90" s="37"/>
      <c r="K90" s="37">
        <v>3</v>
      </c>
      <c r="L90" s="37">
        <v>2</v>
      </c>
      <c r="M90" s="37"/>
      <c r="N90" s="37">
        <f t="shared" si="73"/>
        <v>65</v>
      </c>
      <c r="O90" s="38" t="e">
        <f t="shared" si="74"/>
        <v>#REF!</v>
      </c>
      <c r="P90" s="37">
        <v>110</v>
      </c>
      <c r="Q90" s="37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 t="e">
        <f t="shared" ref="A91:G91" si="80">+#REF!</f>
        <v>#REF!</v>
      </c>
      <c r="B91" s="37" t="e">
        <f t="shared" si="80"/>
        <v>#REF!</v>
      </c>
      <c r="C91" s="38" t="e">
        <f t="shared" si="80"/>
        <v>#REF!</v>
      </c>
      <c r="D91" s="38" t="e">
        <f t="shared" si="80"/>
        <v>#REF!</v>
      </c>
      <c r="E91" s="37" t="e">
        <f t="shared" si="80"/>
        <v>#REF!</v>
      </c>
      <c r="F91" s="39" t="e">
        <f t="shared" si="80"/>
        <v>#REF!</v>
      </c>
      <c r="G91" s="39" t="e">
        <f t="shared" si="80"/>
        <v>#REF!</v>
      </c>
      <c r="H91" s="37">
        <v>55</v>
      </c>
      <c r="I91" s="37"/>
      <c r="J91" s="37"/>
      <c r="K91" s="37">
        <v>3</v>
      </c>
      <c r="L91" s="37">
        <v>2</v>
      </c>
      <c r="M91" s="37"/>
      <c r="N91" s="37">
        <f t="shared" si="73"/>
        <v>60</v>
      </c>
      <c r="O91" s="38" t="e">
        <f t="shared" si="74"/>
        <v>#REF!</v>
      </c>
      <c r="P91" s="37">
        <v>60</v>
      </c>
      <c r="Q91" s="37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 t="e">
        <f t="shared" ref="A92:G92" si="81">+#REF!</f>
        <v>#REF!</v>
      </c>
      <c r="B92" s="37" t="e">
        <f t="shared" si="81"/>
        <v>#REF!</v>
      </c>
      <c r="C92" s="38" t="e">
        <f t="shared" si="81"/>
        <v>#REF!</v>
      </c>
      <c r="D92" s="38" t="e">
        <f t="shared" si="81"/>
        <v>#REF!</v>
      </c>
      <c r="E92" s="37" t="e">
        <f t="shared" si="81"/>
        <v>#REF!</v>
      </c>
      <c r="F92" s="39" t="e">
        <f t="shared" si="81"/>
        <v>#REF!</v>
      </c>
      <c r="G92" s="39" t="e">
        <f t="shared" si="81"/>
        <v>#REF!</v>
      </c>
      <c r="H92" s="37">
        <v>60</v>
      </c>
      <c r="I92" s="37"/>
      <c r="J92" s="37"/>
      <c r="K92" s="37">
        <v>3</v>
      </c>
      <c r="L92" s="37">
        <v>2</v>
      </c>
      <c r="M92" s="37"/>
      <c r="N92" s="37">
        <f t="shared" si="73"/>
        <v>65</v>
      </c>
      <c r="O92" s="38" t="e">
        <f t="shared" si="74"/>
        <v>#REF!</v>
      </c>
      <c r="P92" s="37"/>
      <c r="Q92" s="37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 t="e">
        <f t="shared" ref="A93:G93" si="82">+#REF!</f>
        <v>#REF!</v>
      </c>
      <c r="B93" s="37" t="e">
        <f t="shared" si="82"/>
        <v>#REF!</v>
      </c>
      <c r="C93" s="38" t="e">
        <f t="shared" si="82"/>
        <v>#REF!</v>
      </c>
      <c r="D93" s="38" t="e">
        <f t="shared" si="82"/>
        <v>#REF!</v>
      </c>
      <c r="E93" s="37" t="e">
        <f t="shared" si="82"/>
        <v>#REF!</v>
      </c>
      <c r="F93" s="39" t="e">
        <f t="shared" si="82"/>
        <v>#REF!</v>
      </c>
      <c r="G93" s="39" t="e">
        <f t="shared" si="82"/>
        <v>#REF!</v>
      </c>
      <c r="H93" s="37">
        <v>60</v>
      </c>
      <c r="I93" s="37"/>
      <c r="J93" s="37"/>
      <c r="K93" s="37">
        <v>3</v>
      </c>
      <c r="L93" s="37">
        <v>2</v>
      </c>
      <c r="M93" s="37"/>
      <c r="N93" s="37">
        <f t="shared" si="73"/>
        <v>65</v>
      </c>
      <c r="O93" s="38" t="e">
        <f t="shared" si="74"/>
        <v>#REF!</v>
      </c>
      <c r="P93" s="37">
        <v>75</v>
      </c>
      <c r="Q93" s="37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37"/>
      <c r="C94" s="38"/>
      <c r="D94" s="38"/>
      <c r="E94" s="37"/>
      <c r="F94" s="39"/>
      <c r="G94" s="39"/>
      <c r="H94" s="37"/>
      <c r="I94" s="37"/>
      <c r="J94" s="37"/>
      <c r="K94" s="37"/>
      <c r="L94" s="37"/>
      <c r="M94" s="37"/>
      <c r="N94" s="37"/>
      <c r="O94" s="38"/>
      <c r="P94" s="37"/>
      <c r="Q94" s="37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34" t="e">
        <f>+#REF!</f>
        <v>#REF!</v>
      </c>
      <c r="C95" s="38"/>
      <c r="D95" s="38"/>
      <c r="E95" s="37"/>
      <c r="F95" s="39"/>
      <c r="G95" s="39"/>
      <c r="H95" s="37"/>
      <c r="I95" s="37"/>
      <c r="J95" s="37"/>
      <c r="K95" s="37"/>
      <c r="L95" s="37"/>
      <c r="M95" s="37"/>
      <c r="N95" s="37"/>
      <c r="O95" s="38"/>
      <c r="P95" s="37"/>
      <c r="Q95" s="37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3" t="s">
        <v>11</v>
      </c>
      <c r="B96" s="34" t="s">
        <v>11</v>
      </c>
      <c r="C96" s="35" t="s">
        <v>12</v>
      </c>
      <c r="D96" s="35" t="s">
        <v>13</v>
      </c>
      <c r="E96" s="34" t="s">
        <v>14</v>
      </c>
      <c r="F96" s="34" t="s">
        <v>15</v>
      </c>
      <c r="G96" s="36" t="s">
        <v>16</v>
      </c>
      <c r="H96" s="37"/>
      <c r="I96" s="34" t="s">
        <v>683</v>
      </c>
      <c r="J96" s="34" t="s">
        <v>684</v>
      </c>
      <c r="K96" s="34" t="s">
        <v>21</v>
      </c>
      <c r="L96" s="34" t="s">
        <v>679</v>
      </c>
      <c r="M96" s="34"/>
      <c r="N96" s="34" t="s">
        <v>22</v>
      </c>
      <c r="O96" s="35" t="s">
        <v>681</v>
      </c>
      <c r="P96" s="37"/>
      <c r="Q96" s="37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 t="e">
        <f t="shared" ref="A97:G97" si="83">+#REF!</f>
        <v>#REF!</v>
      </c>
      <c r="B97" s="37" t="e">
        <f t="shared" si="83"/>
        <v>#REF!</v>
      </c>
      <c r="C97" s="38" t="e">
        <f t="shared" si="83"/>
        <v>#REF!</v>
      </c>
      <c r="D97" s="38" t="e">
        <f t="shared" si="83"/>
        <v>#REF!</v>
      </c>
      <c r="E97" s="37" t="e">
        <f t="shared" si="83"/>
        <v>#REF!</v>
      </c>
      <c r="F97" s="39" t="e">
        <f t="shared" si="83"/>
        <v>#REF!</v>
      </c>
      <c r="G97" s="39" t="e">
        <f t="shared" si="83"/>
        <v>#REF!</v>
      </c>
      <c r="H97" s="37"/>
      <c r="I97" s="37">
        <v>50</v>
      </c>
      <c r="J97" s="37">
        <v>4</v>
      </c>
      <c r="K97" s="37">
        <v>4</v>
      </c>
      <c r="L97" s="37">
        <v>2</v>
      </c>
      <c r="M97" s="37"/>
      <c r="N97" s="37">
        <f t="shared" ref="N97:N101" si="84">SUM(I97:L97)</f>
        <v>60</v>
      </c>
      <c r="O97" s="38" t="e">
        <f t="shared" ref="O97:O101" si="85">+#REF!</f>
        <v>#REF!</v>
      </c>
      <c r="P97" s="37"/>
      <c r="Q97" s="37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 t="e">
        <f t="shared" ref="A98:G98" si="86">+#REF!</f>
        <v>#REF!</v>
      </c>
      <c r="B98" s="37" t="e">
        <f t="shared" si="86"/>
        <v>#REF!</v>
      </c>
      <c r="C98" s="38" t="e">
        <f t="shared" si="86"/>
        <v>#REF!</v>
      </c>
      <c r="D98" s="38" t="e">
        <f t="shared" si="86"/>
        <v>#REF!</v>
      </c>
      <c r="E98" s="37" t="e">
        <f t="shared" si="86"/>
        <v>#REF!</v>
      </c>
      <c r="F98" s="39" t="e">
        <f t="shared" si="86"/>
        <v>#REF!</v>
      </c>
      <c r="G98" s="39" t="e">
        <f t="shared" si="86"/>
        <v>#REF!</v>
      </c>
      <c r="H98" s="37"/>
      <c r="I98" s="37">
        <v>50</v>
      </c>
      <c r="J98" s="37">
        <v>4</v>
      </c>
      <c r="K98" s="37">
        <v>4</v>
      </c>
      <c r="L98" s="37">
        <v>2</v>
      </c>
      <c r="M98" s="37"/>
      <c r="N98" s="37">
        <f t="shared" si="84"/>
        <v>60</v>
      </c>
      <c r="O98" s="38" t="e">
        <f t="shared" si="85"/>
        <v>#REF!</v>
      </c>
      <c r="P98" s="37"/>
      <c r="Q98" s="37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 t="e">
        <f t="shared" ref="A99:G99" si="87">+#REF!</f>
        <v>#REF!</v>
      </c>
      <c r="B99" s="37" t="e">
        <f t="shared" si="87"/>
        <v>#REF!</v>
      </c>
      <c r="C99" s="38" t="e">
        <f t="shared" si="87"/>
        <v>#REF!</v>
      </c>
      <c r="D99" s="38" t="e">
        <f t="shared" si="87"/>
        <v>#REF!</v>
      </c>
      <c r="E99" s="37" t="e">
        <f t="shared" si="87"/>
        <v>#REF!</v>
      </c>
      <c r="F99" s="39" t="e">
        <f t="shared" si="87"/>
        <v>#REF!</v>
      </c>
      <c r="G99" s="39" t="e">
        <f t="shared" si="87"/>
        <v>#REF!</v>
      </c>
      <c r="H99" s="37"/>
      <c r="I99" s="37">
        <v>20</v>
      </c>
      <c r="J99" s="37"/>
      <c r="K99" s="37">
        <v>5</v>
      </c>
      <c r="L99" s="37">
        <v>5</v>
      </c>
      <c r="M99" s="37"/>
      <c r="N99" s="37">
        <f t="shared" si="84"/>
        <v>30</v>
      </c>
      <c r="O99" s="38" t="e">
        <f t="shared" si="85"/>
        <v>#REF!</v>
      </c>
      <c r="P99" s="37"/>
      <c r="Q99" s="37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 t="e">
        <f t="shared" ref="A100:G100" si="88">+#REF!</f>
        <v>#REF!</v>
      </c>
      <c r="B100" s="37" t="e">
        <f t="shared" si="88"/>
        <v>#REF!</v>
      </c>
      <c r="C100" s="38" t="e">
        <f t="shared" si="88"/>
        <v>#REF!</v>
      </c>
      <c r="D100" s="38" t="e">
        <f t="shared" si="88"/>
        <v>#REF!</v>
      </c>
      <c r="E100" s="37" t="e">
        <f t="shared" si="88"/>
        <v>#REF!</v>
      </c>
      <c r="F100" s="39" t="e">
        <f t="shared" si="88"/>
        <v>#REF!</v>
      </c>
      <c r="G100" s="39" t="e">
        <f t="shared" si="88"/>
        <v>#REF!</v>
      </c>
      <c r="H100" s="37"/>
      <c r="I100" s="37"/>
      <c r="J100" s="37"/>
      <c r="K100" s="37">
        <v>30</v>
      </c>
      <c r="L100" s="37">
        <v>10</v>
      </c>
      <c r="M100" s="37"/>
      <c r="N100" s="37">
        <f t="shared" si="84"/>
        <v>40</v>
      </c>
      <c r="O100" s="38" t="e">
        <f t="shared" si="85"/>
        <v>#REF!</v>
      </c>
      <c r="P100" s="37">
        <v>56</v>
      </c>
      <c r="Q100" s="37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 t="e">
        <f t="shared" ref="A101:G101" si="89">+#REF!</f>
        <v>#REF!</v>
      </c>
      <c r="B101" s="37" t="e">
        <f t="shared" si="89"/>
        <v>#REF!</v>
      </c>
      <c r="C101" s="38" t="e">
        <f t="shared" si="89"/>
        <v>#REF!</v>
      </c>
      <c r="D101" s="38" t="e">
        <f t="shared" si="89"/>
        <v>#REF!</v>
      </c>
      <c r="E101" s="37" t="e">
        <f t="shared" si="89"/>
        <v>#REF!</v>
      </c>
      <c r="F101" s="39" t="e">
        <f t="shared" si="89"/>
        <v>#REF!</v>
      </c>
      <c r="G101" s="39" t="e">
        <f t="shared" si="89"/>
        <v>#REF!</v>
      </c>
      <c r="H101" s="37"/>
      <c r="I101" s="37"/>
      <c r="J101" s="37"/>
      <c r="K101" s="37"/>
      <c r="L101" s="37"/>
      <c r="M101" s="37"/>
      <c r="N101" s="37">
        <f t="shared" si="84"/>
        <v>0</v>
      </c>
      <c r="O101" s="38" t="e">
        <f t="shared" si="85"/>
        <v>#REF!</v>
      </c>
      <c r="P101" s="37"/>
      <c r="Q101" s="37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37"/>
      <c r="C102" s="38"/>
      <c r="D102" s="38"/>
      <c r="E102" s="37"/>
      <c r="F102" s="39"/>
      <c r="G102" s="39"/>
      <c r="H102" s="37"/>
      <c r="I102" s="37"/>
      <c r="J102" s="37"/>
      <c r="K102" s="37"/>
      <c r="L102" s="37"/>
      <c r="M102" s="37"/>
      <c r="N102" s="37"/>
      <c r="O102" s="38"/>
      <c r="P102" s="37"/>
      <c r="Q102" s="37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34" t="e">
        <f>+#REF!</f>
        <v>#REF!</v>
      </c>
      <c r="C103" s="38"/>
      <c r="D103" s="38"/>
      <c r="E103" s="37"/>
      <c r="F103" s="39"/>
      <c r="G103" s="39" t="e">
        <f>+#REF!</f>
        <v>#REF!</v>
      </c>
      <c r="H103" s="37"/>
      <c r="I103" s="37"/>
      <c r="J103" s="37"/>
      <c r="K103" s="37"/>
      <c r="L103" s="37"/>
      <c r="M103" s="37"/>
      <c r="N103" s="37"/>
      <c r="O103" s="38"/>
      <c r="P103" s="37"/>
      <c r="Q103" s="37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37"/>
      <c r="C104" s="38"/>
      <c r="D104" s="38"/>
      <c r="E104" s="37"/>
      <c r="F104" s="39"/>
      <c r="G104" s="39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3" t="s">
        <v>11</v>
      </c>
      <c r="B105" s="34" t="s">
        <v>11</v>
      </c>
      <c r="C105" s="35" t="s">
        <v>12</v>
      </c>
      <c r="D105" s="35" t="s">
        <v>13</v>
      </c>
      <c r="E105" s="34" t="s">
        <v>14</v>
      </c>
      <c r="F105" s="34" t="s">
        <v>15</v>
      </c>
      <c r="G105" s="36" t="s">
        <v>16</v>
      </c>
      <c r="H105" s="34" t="s">
        <v>19</v>
      </c>
      <c r="I105" s="34" t="s">
        <v>20</v>
      </c>
      <c r="J105" s="34" t="s">
        <v>678</v>
      </c>
      <c r="K105" s="34" t="s">
        <v>21</v>
      </c>
      <c r="L105" s="34" t="s">
        <v>679</v>
      </c>
      <c r="M105" s="34"/>
      <c r="N105" s="34" t="s">
        <v>22</v>
      </c>
      <c r="O105" s="35" t="s">
        <v>681</v>
      </c>
      <c r="P105" s="37"/>
      <c r="Q105" s="37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 t="e">
        <f t="shared" ref="A106:G106" si="90">+#REF!</f>
        <v>#REF!</v>
      </c>
      <c r="B106" s="37" t="e">
        <f t="shared" si="90"/>
        <v>#REF!</v>
      </c>
      <c r="C106" s="38" t="e">
        <f t="shared" si="90"/>
        <v>#REF!</v>
      </c>
      <c r="D106" s="38" t="e">
        <f t="shared" si="90"/>
        <v>#REF!</v>
      </c>
      <c r="E106" s="37" t="e">
        <f t="shared" si="90"/>
        <v>#REF!</v>
      </c>
      <c r="F106" s="39" t="e">
        <f t="shared" si="90"/>
        <v>#REF!</v>
      </c>
      <c r="G106" s="39" t="e">
        <f t="shared" si="90"/>
        <v>#REF!</v>
      </c>
      <c r="H106" s="37">
        <v>60</v>
      </c>
      <c r="I106" s="37"/>
      <c r="J106" s="37"/>
      <c r="K106" s="37">
        <v>10</v>
      </c>
      <c r="L106" s="37">
        <v>5</v>
      </c>
      <c r="M106" s="37"/>
      <c r="N106" s="37">
        <f t="shared" ref="N106:N108" si="91">SUM(H106:L106)</f>
        <v>75</v>
      </c>
      <c r="O106" s="38" t="e">
        <f t="shared" ref="O106:O132" si="92">+#REF!</f>
        <v>#REF!</v>
      </c>
      <c r="P106" s="37">
        <v>120</v>
      </c>
      <c r="Q106" s="37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 t="e">
        <f t="shared" ref="A107:G107" si="93">+#REF!</f>
        <v>#REF!</v>
      </c>
      <c r="B107" s="37" t="e">
        <f t="shared" si="93"/>
        <v>#REF!</v>
      </c>
      <c r="C107" s="38" t="e">
        <f t="shared" si="93"/>
        <v>#REF!</v>
      </c>
      <c r="D107" s="38" t="e">
        <f t="shared" si="93"/>
        <v>#REF!</v>
      </c>
      <c r="E107" s="37" t="e">
        <f t="shared" si="93"/>
        <v>#REF!</v>
      </c>
      <c r="F107" s="39" t="e">
        <f t="shared" si="93"/>
        <v>#REF!</v>
      </c>
      <c r="G107" s="39" t="e">
        <f t="shared" si="93"/>
        <v>#REF!</v>
      </c>
      <c r="H107" s="37">
        <v>55</v>
      </c>
      <c r="I107" s="37">
        <v>6</v>
      </c>
      <c r="J107" s="37">
        <v>11</v>
      </c>
      <c r="K107" s="37">
        <v>4</v>
      </c>
      <c r="L107" s="37">
        <v>2</v>
      </c>
      <c r="M107" s="37"/>
      <c r="N107" s="37">
        <f t="shared" si="91"/>
        <v>78</v>
      </c>
      <c r="O107" s="38" t="e">
        <f t="shared" si="92"/>
        <v>#REF!</v>
      </c>
      <c r="P107" s="37">
        <v>100</v>
      </c>
      <c r="Q107" s="37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 t="e">
        <f t="shared" ref="A108:G108" si="94">+#REF!</f>
        <v>#REF!</v>
      </c>
      <c r="B108" s="37" t="e">
        <f t="shared" si="94"/>
        <v>#REF!</v>
      </c>
      <c r="C108" s="38" t="e">
        <f t="shared" si="94"/>
        <v>#REF!</v>
      </c>
      <c r="D108" s="38" t="e">
        <f t="shared" si="94"/>
        <v>#REF!</v>
      </c>
      <c r="E108" s="37" t="e">
        <f t="shared" si="94"/>
        <v>#REF!</v>
      </c>
      <c r="F108" s="39" t="e">
        <f t="shared" si="94"/>
        <v>#REF!</v>
      </c>
      <c r="G108" s="39" t="e">
        <f t="shared" si="94"/>
        <v>#REF!</v>
      </c>
      <c r="H108" s="37">
        <v>55</v>
      </c>
      <c r="I108" s="37">
        <v>6</v>
      </c>
      <c r="J108" s="37">
        <v>11</v>
      </c>
      <c r="K108" s="37">
        <v>4</v>
      </c>
      <c r="L108" s="37">
        <v>2</v>
      </c>
      <c r="M108" s="37"/>
      <c r="N108" s="37">
        <f t="shared" si="91"/>
        <v>78</v>
      </c>
      <c r="O108" s="38" t="e">
        <f t="shared" si="92"/>
        <v>#REF!</v>
      </c>
      <c r="P108" s="37">
        <v>100</v>
      </c>
      <c r="Q108" s="37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 t="e">
        <f t="shared" ref="A109:G109" si="95">+#REF!</f>
        <v>#REF!</v>
      </c>
      <c r="B109" s="37" t="e">
        <f t="shared" si="95"/>
        <v>#REF!</v>
      </c>
      <c r="C109" s="38" t="e">
        <f t="shared" si="95"/>
        <v>#REF!</v>
      </c>
      <c r="D109" s="38" t="e">
        <f t="shared" si="95"/>
        <v>#REF!</v>
      </c>
      <c r="E109" s="37" t="e">
        <f t="shared" si="95"/>
        <v>#REF!</v>
      </c>
      <c r="F109" s="39" t="e">
        <f t="shared" si="95"/>
        <v>#REF!</v>
      </c>
      <c r="G109" s="39" t="e">
        <f t="shared" si="95"/>
        <v>#REF!</v>
      </c>
      <c r="H109" s="37">
        <v>55</v>
      </c>
      <c r="I109" s="37">
        <v>6</v>
      </c>
      <c r="J109" s="37">
        <v>11</v>
      </c>
      <c r="K109" s="37">
        <v>4</v>
      </c>
      <c r="L109" s="37">
        <v>2</v>
      </c>
      <c r="M109" s="37">
        <v>0</v>
      </c>
      <c r="N109" s="37">
        <f t="shared" ref="N109:N113" si="96">SUM(H109:M109)</f>
        <v>78</v>
      </c>
      <c r="O109" s="38" t="e">
        <f t="shared" si="92"/>
        <v>#REF!</v>
      </c>
      <c r="P109" s="37">
        <v>80</v>
      </c>
      <c r="Q109" s="37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 t="e">
        <f t="shared" ref="A110:G110" si="97">+#REF!</f>
        <v>#REF!</v>
      </c>
      <c r="B110" s="37" t="e">
        <f t="shared" si="97"/>
        <v>#REF!</v>
      </c>
      <c r="C110" s="38" t="e">
        <f t="shared" si="97"/>
        <v>#REF!</v>
      </c>
      <c r="D110" s="38" t="e">
        <f t="shared" si="97"/>
        <v>#REF!</v>
      </c>
      <c r="E110" s="37" t="e">
        <f t="shared" si="97"/>
        <v>#REF!</v>
      </c>
      <c r="F110" s="39" t="e">
        <f t="shared" si="97"/>
        <v>#REF!</v>
      </c>
      <c r="G110" s="39" t="e">
        <f t="shared" si="97"/>
        <v>#REF!</v>
      </c>
      <c r="H110" s="37">
        <v>55</v>
      </c>
      <c r="I110" s="37">
        <v>6</v>
      </c>
      <c r="J110" s="37">
        <v>11</v>
      </c>
      <c r="K110" s="37">
        <v>4</v>
      </c>
      <c r="L110" s="37">
        <v>2</v>
      </c>
      <c r="M110" s="37">
        <v>0</v>
      </c>
      <c r="N110" s="37">
        <f t="shared" si="96"/>
        <v>78</v>
      </c>
      <c r="O110" s="38" t="e">
        <f t="shared" si="92"/>
        <v>#REF!</v>
      </c>
      <c r="P110" s="37">
        <v>80</v>
      </c>
      <c r="Q110" s="37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 t="e">
        <f t="shared" ref="A111:G111" si="98">+#REF!</f>
        <v>#REF!</v>
      </c>
      <c r="B111" s="37" t="e">
        <f t="shared" si="98"/>
        <v>#REF!</v>
      </c>
      <c r="C111" s="38" t="e">
        <f t="shared" si="98"/>
        <v>#REF!</v>
      </c>
      <c r="D111" s="38" t="e">
        <f t="shared" si="98"/>
        <v>#REF!</v>
      </c>
      <c r="E111" s="37" t="e">
        <f t="shared" si="98"/>
        <v>#REF!</v>
      </c>
      <c r="F111" s="39" t="e">
        <f t="shared" si="98"/>
        <v>#REF!</v>
      </c>
      <c r="G111" s="39" t="e">
        <f t="shared" si="98"/>
        <v>#REF!</v>
      </c>
      <c r="H111" s="37">
        <v>55</v>
      </c>
      <c r="I111" s="37">
        <v>6</v>
      </c>
      <c r="J111" s="37">
        <v>11</v>
      </c>
      <c r="K111" s="37">
        <v>4</v>
      </c>
      <c r="L111" s="37">
        <v>2</v>
      </c>
      <c r="M111" s="37">
        <v>0</v>
      </c>
      <c r="N111" s="37">
        <f t="shared" si="96"/>
        <v>78</v>
      </c>
      <c r="O111" s="38" t="e">
        <f t="shared" si="92"/>
        <v>#REF!</v>
      </c>
      <c r="P111" s="37">
        <v>80</v>
      </c>
      <c r="Q111" s="37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 t="e">
        <f t="shared" ref="A112:G112" si="99">+#REF!</f>
        <v>#REF!</v>
      </c>
      <c r="B112" s="37" t="e">
        <f t="shared" si="99"/>
        <v>#REF!</v>
      </c>
      <c r="C112" s="38" t="e">
        <f t="shared" si="99"/>
        <v>#REF!</v>
      </c>
      <c r="D112" s="38" t="e">
        <f t="shared" si="99"/>
        <v>#REF!</v>
      </c>
      <c r="E112" s="37" t="e">
        <f t="shared" si="99"/>
        <v>#REF!</v>
      </c>
      <c r="F112" s="39" t="e">
        <f t="shared" si="99"/>
        <v>#REF!</v>
      </c>
      <c r="G112" s="39" t="e">
        <f t="shared" si="99"/>
        <v>#REF!</v>
      </c>
      <c r="H112" s="37">
        <v>45</v>
      </c>
      <c r="I112" s="37">
        <v>10</v>
      </c>
      <c r="J112" s="37">
        <v>15</v>
      </c>
      <c r="K112" s="37">
        <v>3</v>
      </c>
      <c r="L112" s="37">
        <v>2</v>
      </c>
      <c r="M112" s="37">
        <v>5</v>
      </c>
      <c r="N112" s="37">
        <f t="shared" si="96"/>
        <v>80</v>
      </c>
      <c r="O112" s="38" t="e">
        <f t="shared" si="92"/>
        <v>#REF!</v>
      </c>
      <c r="P112" s="37">
        <v>80</v>
      </c>
      <c r="Q112" s="37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 t="e">
        <f t="shared" ref="A113:G113" si="100">+#REF!</f>
        <v>#REF!</v>
      </c>
      <c r="B113" s="37" t="e">
        <f t="shared" si="100"/>
        <v>#REF!</v>
      </c>
      <c r="C113" s="38" t="e">
        <f t="shared" si="100"/>
        <v>#REF!</v>
      </c>
      <c r="D113" s="38" t="e">
        <f t="shared" si="100"/>
        <v>#REF!</v>
      </c>
      <c r="E113" s="37" t="e">
        <f t="shared" si="100"/>
        <v>#REF!</v>
      </c>
      <c r="F113" s="39" t="e">
        <f t="shared" si="100"/>
        <v>#REF!</v>
      </c>
      <c r="G113" s="39" t="e">
        <f t="shared" si="100"/>
        <v>#REF!</v>
      </c>
      <c r="H113" s="37">
        <v>45</v>
      </c>
      <c r="I113" s="37">
        <v>10</v>
      </c>
      <c r="J113" s="37">
        <v>15</v>
      </c>
      <c r="K113" s="37">
        <v>3</v>
      </c>
      <c r="L113" s="37">
        <v>2</v>
      </c>
      <c r="M113" s="37">
        <v>5</v>
      </c>
      <c r="N113" s="37">
        <f t="shared" si="96"/>
        <v>80</v>
      </c>
      <c r="O113" s="38" t="e">
        <f t="shared" si="92"/>
        <v>#REF!</v>
      </c>
      <c r="P113" s="37">
        <v>80</v>
      </c>
      <c r="Q113" s="37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 t="e">
        <f t="shared" ref="A114:G114" si="101">+#REF!</f>
        <v>#REF!</v>
      </c>
      <c r="B114" s="37" t="e">
        <f t="shared" si="101"/>
        <v>#REF!</v>
      </c>
      <c r="C114" s="38" t="e">
        <f t="shared" si="101"/>
        <v>#REF!</v>
      </c>
      <c r="D114" s="38" t="e">
        <f t="shared" si="101"/>
        <v>#REF!</v>
      </c>
      <c r="E114" s="37" t="e">
        <f t="shared" si="101"/>
        <v>#REF!</v>
      </c>
      <c r="F114" s="39" t="e">
        <f t="shared" si="101"/>
        <v>#REF!</v>
      </c>
      <c r="G114" s="39" t="e">
        <f t="shared" si="101"/>
        <v>#REF!</v>
      </c>
      <c r="H114" s="37">
        <v>55</v>
      </c>
      <c r="I114" s="37"/>
      <c r="J114" s="37"/>
      <c r="K114" s="37">
        <v>5</v>
      </c>
      <c r="L114" s="37"/>
      <c r="M114" s="37">
        <v>5</v>
      </c>
      <c r="N114" s="37">
        <f t="shared" ref="N114:N119" si="102">SUM(H114:L114)</f>
        <v>60</v>
      </c>
      <c r="O114" s="38" t="e">
        <f t="shared" si="92"/>
        <v>#REF!</v>
      </c>
      <c r="P114" s="37">
        <v>100</v>
      </c>
      <c r="Q114" s="37">
        <v>5</v>
      </c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 t="e">
        <f t="shared" ref="A115:G115" si="103">+#REF!</f>
        <v>#REF!</v>
      </c>
      <c r="B115" s="37" t="e">
        <f t="shared" si="103"/>
        <v>#REF!</v>
      </c>
      <c r="C115" s="38" t="e">
        <f t="shared" si="103"/>
        <v>#REF!</v>
      </c>
      <c r="D115" s="38" t="e">
        <f t="shared" si="103"/>
        <v>#REF!</v>
      </c>
      <c r="E115" s="37" t="e">
        <f t="shared" si="103"/>
        <v>#REF!</v>
      </c>
      <c r="F115" s="39" t="e">
        <f t="shared" si="103"/>
        <v>#REF!</v>
      </c>
      <c r="G115" s="39" t="e">
        <f t="shared" si="103"/>
        <v>#REF!</v>
      </c>
      <c r="H115" s="37">
        <v>55</v>
      </c>
      <c r="I115" s="37"/>
      <c r="J115" s="37"/>
      <c r="K115" s="37">
        <v>5</v>
      </c>
      <c r="L115" s="37"/>
      <c r="M115" s="37"/>
      <c r="N115" s="37">
        <f t="shared" si="102"/>
        <v>60</v>
      </c>
      <c r="O115" s="38" t="e">
        <f t="shared" si="92"/>
        <v>#REF!</v>
      </c>
      <c r="P115" s="37">
        <v>60</v>
      </c>
      <c r="Q115" s="37">
        <v>5</v>
      </c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 t="e">
        <f t="shared" ref="A116:G116" si="104">+#REF!</f>
        <v>#REF!</v>
      </c>
      <c r="B116" s="37" t="e">
        <f t="shared" si="104"/>
        <v>#REF!</v>
      </c>
      <c r="C116" s="38" t="e">
        <f t="shared" si="104"/>
        <v>#REF!</v>
      </c>
      <c r="D116" s="38" t="e">
        <f t="shared" si="104"/>
        <v>#REF!</v>
      </c>
      <c r="E116" s="37" t="e">
        <f t="shared" si="104"/>
        <v>#REF!</v>
      </c>
      <c r="F116" s="39" t="e">
        <f t="shared" si="104"/>
        <v>#REF!</v>
      </c>
      <c r="G116" s="39" t="e">
        <f t="shared" si="104"/>
        <v>#REF!</v>
      </c>
      <c r="H116" s="37">
        <v>55</v>
      </c>
      <c r="I116" s="37"/>
      <c r="J116" s="37"/>
      <c r="K116" s="37">
        <v>5</v>
      </c>
      <c r="L116" s="37"/>
      <c r="M116" s="37">
        <v>5</v>
      </c>
      <c r="N116" s="37">
        <f t="shared" si="102"/>
        <v>60</v>
      </c>
      <c r="O116" s="38" t="e">
        <f t="shared" si="92"/>
        <v>#REF!</v>
      </c>
      <c r="P116" s="37">
        <v>75</v>
      </c>
      <c r="Q116" s="37">
        <v>5</v>
      </c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 t="e">
        <f t="shared" ref="A117:G117" si="105">+#REF!</f>
        <v>#REF!</v>
      </c>
      <c r="B117" s="37" t="e">
        <f t="shared" si="105"/>
        <v>#REF!</v>
      </c>
      <c r="C117" s="38" t="e">
        <f t="shared" si="105"/>
        <v>#REF!</v>
      </c>
      <c r="D117" s="38" t="e">
        <f t="shared" si="105"/>
        <v>#REF!</v>
      </c>
      <c r="E117" s="37" t="e">
        <f t="shared" si="105"/>
        <v>#REF!</v>
      </c>
      <c r="F117" s="39" t="e">
        <f t="shared" si="105"/>
        <v>#REF!</v>
      </c>
      <c r="G117" s="39" t="e">
        <f t="shared" si="105"/>
        <v>#REF!</v>
      </c>
      <c r="H117" s="37">
        <v>50</v>
      </c>
      <c r="I117" s="37"/>
      <c r="J117" s="37"/>
      <c r="K117" s="37">
        <v>5</v>
      </c>
      <c r="L117" s="37"/>
      <c r="M117" s="37"/>
      <c r="N117" s="37">
        <f t="shared" si="102"/>
        <v>55</v>
      </c>
      <c r="O117" s="38" t="e">
        <f t="shared" si="92"/>
        <v>#REF!</v>
      </c>
      <c r="P117" s="37">
        <v>60</v>
      </c>
      <c r="Q117" s="37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 t="e">
        <f t="shared" ref="A118:G118" si="106">+#REF!</f>
        <v>#REF!</v>
      </c>
      <c r="B118" s="37" t="e">
        <f t="shared" si="106"/>
        <v>#REF!</v>
      </c>
      <c r="C118" s="38" t="e">
        <f t="shared" si="106"/>
        <v>#REF!</v>
      </c>
      <c r="D118" s="38" t="e">
        <f t="shared" si="106"/>
        <v>#REF!</v>
      </c>
      <c r="E118" s="37" t="e">
        <f t="shared" si="106"/>
        <v>#REF!</v>
      </c>
      <c r="F118" s="39" t="e">
        <f t="shared" si="106"/>
        <v>#REF!</v>
      </c>
      <c r="G118" s="39" t="e">
        <f t="shared" si="106"/>
        <v>#REF!</v>
      </c>
      <c r="H118" s="37">
        <v>60</v>
      </c>
      <c r="I118" s="37"/>
      <c r="J118" s="37"/>
      <c r="K118" s="37">
        <v>5</v>
      </c>
      <c r="L118" s="37"/>
      <c r="M118" s="37"/>
      <c r="N118" s="37">
        <f t="shared" si="102"/>
        <v>65</v>
      </c>
      <c r="O118" s="38" t="e">
        <f t="shared" si="92"/>
        <v>#REF!</v>
      </c>
      <c r="P118" s="37">
        <v>80</v>
      </c>
      <c r="Q118" s="37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 t="e">
        <f t="shared" ref="A119:G119" si="107">+#REF!</f>
        <v>#REF!</v>
      </c>
      <c r="B119" s="37" t="e">
        <f t="shared" si="107"/>
        <v>#REF!</v>
      </c>
      <c r="C119" s="38" t="e">
        <f t="shared" si="107"/>
        <v>#REF!</v>
      </c>
      <c r="D119" s="38" t="e">
        <f t="shared" si="107"/>
        <v>#REF!</v>
      </c>
      <c r="E119" s="37" t="e">
        <f t="shared" si="107"/>
        <v>#REF!</v>
      </c>
      <c r="F119" s="39" t="e">
        <f t="shared" si="107"/>
        <v>#REF!</v>
      </c>
      <c r="G119" s="39" t="e">
        <f t="shared" si="107"/>
        <v>#REF!</v>
      </c>
      <c r="H119" s="37">
        <v>60</v>
      </c>
      <c r="I119" s="37"/>
      <c r="J119" s="37"/>
      <c r="K119" s="37">
        <v>5</v>
      </c>
      <c r="L119" s="37"/>
      <c r="M119" s="37"/>
      <c r="N119" s="37">
        <f t="shared" si="102"/>
        <v>65</v>
      </c>
      <c r="O119" s="38" t="e">
        <f t="shared" si="92"/>
        <v>#REF!</v>
      </c>
      <c r="P119" s="37">
        <v>80</v>
      </c>
      <c r="Q119" s="37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 t="e">
        <f t="shared" ref="A120:G120" si="108">+#REF!</f>
        <v>#REF!</v>
      </c>
      <c r="B120" s="37" t="e">
        <f t="shared" si="108"/>
        <v>#REF!</v>
      </c>
      <c r="C120" s="38" t="e">
        <f t="shared" si="108"/>
        <v>#REF!</v>
      </c>
      <c r="D120" s="38" t="e">
        <f t="shared" si="108"/>
        <v>#REF!</v>
      </c>
      <c r="E120" s="37" t="e">
        <f t="shared" si="108"/>
        <v>#REF!</v>
      </c>
      <c r="F120" s="39" t="e">
        <f t="shared" si="108"/>
        <v>#REF!</v>
      </c>
      <c r="G120" s="39" t="e">
        <f t="shared" si="108"/>
        <v>#REF!</v>
      </c>
      <c r="H120" s="37">
        <v>55</v>
      </c>
      <c r="I120" s="37"/>
      <c r="J120" s="37"/>
      <c r="K120" s="37">
        <v>5</v>
      </c>
      <c r="L120" s="37">
        <v>5</v>
      </c>
      <c r="M120" s="37">
        <v>7</v>
      </c>
      <c r="N120" s="37">
        <f>SUM(H120:M120)</f>
        <v>72</v>
      </c>
      <c r="O120" s="38" t="e">
        <f t="shared" si="92"/>
        <v>#REF!</v>
      </c>
      <c r="P120" s="37">
        <v>80</v>
      </c>
      <c r="Q120" s="37">
        <v>5</v>
      </c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 t="e">
        <f t="shared" ref="A121:G121" si="109">+#REF!</f>
        <v>#REF!</v>
      </c>
      <c r="B121" s="37" t="e">
        <f t="shared" si="109"/>
        <v>#REF!</v>
      </c>
      <c r="C121" s="38" t="e">
        <f t="shared" si="109"/>
        <v>#REF!</v>
      </c>
      <c r="D121" s="38" t="e">
        <f t="shared" si="109"/>
        <v>#REF!</v>
      </c>
      <c r="E121" s="37" t="e">
        <f t="shared" si="109"/>
        <v>#REF!</v>
      </c>
      <c r="F121" s="39" t="e">
        <f t="shared" si="109"/>
        <v>#REF!</v>
      </c>
      <c r="G121" s="39" t="e">
        <f t="shared" si="109"/>
        <v>#REF!</v>
      </c>
      <c r="H121" s="37">
        <v>60</v>
      </c>
      <c r="I121" s="37"/>
      <c r="J121" s="37"/>
      <c r="K121" s="37">
        <v>5</v>
      </c>
      <c r="L121" s="37">
        <v>5</v>
      </c>
      <c r="M121" s="37"/>
      <c r="N121" s="37">
        <f>SUM(H121:L121)</f>
        <v>70</v>
      </c>
      <c r="O121" s="38" t="e">
        <f t="shared" si="92"/>
        <v>#REF!</v>
      </c>
      <c r="P121" s="37">
        <v>80</v>
      </c>
      <c r="Q121" s="37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 t="e">
        <f t="shared" ref="A122:G122" si="110">+#REF!</f>
        <v>#REF!</v>
      </c>
      <c r="B122" s="37" t="e">
        <f t="shared" si="110"/>
        <v>#REF!</v>
      </c>
      <c r="C122" s="38" t="e">
        <f t="shared" si="110"/>
        <v>#REF!</v>
      </c>
      <c r="D122" s="38" t="e">
        <f t="shared" si="110"/>
        <v>#REF!</v>
      </c>
      <c r="E122" s="37" t="e">
        <f t="shared" si="110"/>
        <v>#REF!</v>
      </c>
      <c r="F122" s="39" t="e">
        <f t="shared" si="110"/>
        <v>#REF!</v>
      </c>
      <c r="G122" s="39" t="e">
        <f t="shared" si="110"/>
        <v>#REF!</v>
      </c>
      <c r="H122" s="37">
        <v>55</v>
      </c>
      <c r="I122" s="37"/>
      <c r="J122" s="37"/>
      <c r="K122" s="37">
        <v>5</v>
      </c>
      <c r="L122" s="37">
        <v>5</v>
      </c>
      <c r="M122" s="37">
        <v>8</v>
      </c>
      <c r="N122" s="37">
        <f>SUM(H122:M122)</f>
        <v>73</v>
      </c>
      <c r="O122" s="38" t="e">
        <f t="shared" si="92"/>
        <v>#REF!</v>
      </c>
      <c r="P122" s="37">
        <v>80</v>
      </c>
      <c r="Q122" s="37">
        <v>5</v>
      </c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 t="e">
        <f t="shared" ref="A123:G123" si="111">+#REF!</f>
        <v>#REF!</v>
      </c>
      <c r="B123" s="37" t="e">
        <f t="shared" si="111"/>
        <v>#REF!</v>
      </c>
      <c r="C123" s="38" t="e">
        <f t="shared" si="111"/>
        <v>#REF!</v>
      </c>
      <c r="D123" s="38" t="e">
        <f t="shared" si="111"/>
        <v>#REF!</v>
      </c>
      <c r="E123" s="37" t="e">
        <f t="shared" si="111"/>
        <v>#REF!</v>
      </c>
      <c r="F123" s="39" t="e">
        <f t="shared" si="111"/>
        <v>#REF!</v>
      </c>
      <c r="G123" s="39" t="e">
        <f t="shared" si="111"/>
        <v>#REF!</v>
      </c>
      <c r="H123" s="37">
        <f>65-Q123</f>
        <v>57</v>
      </c>
      <c r="I123" s="37"/>
      <c r="J123" s="37"/>
      <c r="K123" s="37">
        <v>5</v>
      </c>
      <c r="L123" s="37">
        <v>5</v>
      </c>
      <c r="M123" s="37">
        <v>5</v>
      </c>
      <c r="N123" s="37">
        <f>SUM(H123:L123)</f>
        <v>67</v>
      </c>
      <c r="O123" s="38" t="e">
        <f t="shared" si="92"/>
        <v>#REF!</v>
      </c>
      <c r="P123" s="37">
        <v>100</v>
      </c>
      <c r="Q123" s="37">
        <v>8</v>
      </c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 t="e">
        <f t="shared" ref="A124:G124" si="112">+#REF!</f>
        <v>#REF!</v>
      </c>
      <c r="B124" s="37" t="e">
        <f t="shared" si="112"/>
        <v>#REF!</v>
      </c>
      <c r="C124" s="38" t="e">
        <f t="shared" si="112"/>
        <v>#REF!</v>
      </c>
      <c r="D124" s="38" t="e">
        <f t="shared" si="112"/>
        <v>#REF!</v>
      </c>
      <c r="E124" s="37" t="e">
        <f t="shared" si="112"/>
        <v>#REF!</v>
      </c>
      <c r="F124" s="39" t="e">
        <f t="shared" si="112"/>
        <v>#REF!</v>
      </c>
      <c r="G124" s="39" t="e">
        <f t="shared" si="112"/>
        <v>#REF!</v>
      </c>
      <c r="H124" s="37">
        <v>56</v>
      </c>
      <c r="I124" s="37"/>
      <c r="J124" s="37"/>
      <c r="K124" s="37">
        <v>5</v>
      </c>
      <c r="L124" s="37">
        <v>5</v>
      </c>
      <c r="M124" s="37">
        <v>5</v>
      </c>
      <c r="N124" s="37">
        <f>SUM(H124:M124)</f>
        <v>71</v>
      </c>
      <c r="O124" s="38" t="e">
        <f t="shared" si="92"/>
        <v>#REF!</v>
      </c>
      <c r="P124" s="37">
        <v>100</v>
      </c>
      <c r="Q124" s="37">
        <v>7</v>
      </c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 t="e">
        <f t="shared" ref="A125:G125" si="113">+#REF!</f>
        <v>#REF!</v>
      </c>
      <c r="B125" s="37" t="e">
        <f t="shared" si="113"/>
        <v>#REF!</v>
      </c>
      <c r="C125" s="38" t="e">
        <f t="shared" si="113"/>
        <v>#REF!</v>
      </c>
      <c r="D125" s="38" t="e">
        <f t="shared" si="113"/>
        <v>#REF!</v>
      </c>
      <c r="E125" s="37" t="e">
        <f t="shared" si="113"/>
        <v>#REF!</v>
      </c>
      <c r="F125" s="39" t="e">
        <f t="shared" si="113"/>
        <v>#REF!</v>
      </c>
      <c r="G125" s="39" t="e">
        <f t="shared" si="113"/>
        <v>#REF!</v>
      </c>
      <c r="H125" s="37">
        <v>60</v>
      </c>
      <c r="I125" s="37"/>
      <c r="J125" s="37"/>
      <c r="K125" s="37">
        <v>5</v>
      </c>
      <c r="L125" s="37"/>
      <c r="M125" s="37"/>
      <c r="N125" s="37">
        <f t="shared" ref="N125:N132" si="114">SUM(H125:L125)</f>
        <v>65</v>
      </c>
      <c r="O125" s="38" t="e">
        <f t="shared" si="92"/>
        <v>#REF!</v>
      </c>
      <c r="P125" s="37">
        <v>120</v>
      </c>
      <c r="Q125" s="37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 t="e">
        <f t="shared" ref="A126:G126" si="115">+#REF!</f>
        <v>#REF!</v>
      </c>
      <c r="B126" s="37" t="e">
        <f t="shared" si="115"/>
        <v>#REF!</v>
      </c>
      <c r="C126" s="38" t="e">
        <f t="shared" si="115"/>
        <v>#REF!</v>
      </c>
      <c r="D126" s="38" t="e">
        <f t="shared" si="115"/>
        <v>#REF!</v>
      </c>
      <c r="E126" s="37" t="e">
        <f t="shared" si="115"/>
        <v>#REF!</v>
      </c>
      <c r="F126" s="39" t="e">
        <f t="shared" si="115"/>
        <v>#REF!</v>
      </c>
      <c r="G126" s="39" t="e">
        <f t="shared" si="115"/>
        <v>#REF!</v>
      </c>
      <c r="H126" s="37">
        <v>60</v>
      </c>
      <c r="I126" s="37"/>
      <c r="J126" s="37"/>
      <c r="K126" s="37">
        <v>5</v>
      </c>
      <c r="L126" s="37"/>
      <c r="M126" s="37"/>
      <c r="N126" s="37">
        <f t="shared" si="114"/>
        <v>65</v>
      </c>
      <c r="O126" s="38" t="e">
        <f t="shared" si="92"/>
        <v>#REF!</v>
      </c>
      <c r="P126" s="37">
        <v>100</v>
      </c>
      <c r="Q126" s="37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 t="e">
        <f t="shared" ref="A127:G127" si="116">+#REF!</f>
        <v>#REF!</v>
      </c>
      <c r="B127" s="37" t="e">
        <f t="shared" si="116"/>
        <v>#REF!</v>
      </c>
      <c r="C127" s="38" t="e">
        <f t="shared" si="116"/>
        <v>#REF!</v>
      </c>
      <c r="D127" s="38" t="e">
        <f t="shared" si="116"/>
        <v>#REF!</v>
      </c>
      <c r="E127" s="37" t="e">
        <f t="shared" si="116"/>
        <v>#REF!</v>
      </c>
      <c r="F127" s="39" t="e">
        <f t="shared" si="116"/>
        <v>#REF!</v>
      </c>
      <c r="G127" s="39" t="e">
        <f t="shared" si="116"/>
        <v>#REF!</v>
      </c>
      <c r="H127" s="37">
        <v>60</v>
      </c>
      <c r="I127" s="37"/>
      <c r="J127" s="37"/>
      <c r="K127" s="37">
        <v>5</v>
      </c>
      <c r="L127" s="37"/>
      <c r="M127" s="37"/>
      <c r="N127" s="37">
        <f t="shared" si="114"/>
        <v>65</v>
      </c>
      <c r="O127" s="38" t="e">
        <f t="shared" si="92"/>
        <v>#REF!</v>
      </c>
      <c r="P127" s="37">
        <v>80</v>
      </c>
      <c r="Q127" s="37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 t="e">
        <f t="shared" ref="A128:G128" si="117">+#REF!</f>
        <v>#REF!</v>
      </c>
      <c r="B128" s="37" t="e">
        <f t="shared" si="117"/>
        <v>#REF!</v>
      </c>
      <c r="C128" s="38" t="e">
        <f t="shared" si="117"/>
        <v>#REF!</v>
      </c>
      <c r="D128" s="38" t="e">
        <f t="shared" si="117"/>
        <v>#REF!</v>
      </c>
      <c r="E128" s="37" t="e">
        <f t="shared" si="117"/>
        <v>#REF!</v>
      </c>
      <c r="F128" s="39" t="e">
        <f t="shared" si="117"/>
        <v>#REF!</v>
      </c>
      <c r="G128" s="39" t="e">
        <f t="shared" si="117"/>
        <v>#REF!</v>
      </c>
      <c r="H128" s="37">
        <v>53</v>
      </c>
      <c r="I128" s="37"/>
      <c r="J128" s="37"/>
      <c r="K128" s="37"/>
      <c r="L128" s="37"/>
      <c r="M128" s="37"/>
      <c r="N128" s="37">
        <f t="shared" si="114"/>
        <v>53</v>
      </c>
      <c r="O128" s="38" t="e">
        <f t="shared" si="92"/>
        <v>#REF!</v>
      </c>
      <c r="P128" s="37">
        <v>75</v>
      </c>
      <c r="Q128" s="37">
        <v>2</v>
      </c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 t="e">
        <f t="shared" ref="A129:G129" si="118">+#REF!</f>
        <v>#REF!</v>
      </c>
      <c r="B129" s="37" t="e">
        <f t="shared" si="118"/>
        <v>#REF!</v>
      </c>
      <c r="C129" s="38" t="e">
        <f t="shared" si="118"/>
        <v>#REF!</v>
      </c>
      <c r="D129" s="38" t="e">
        <f t="shared" si="118"/>
        <v>#REF!</v>
      </c>
      <c r="E129" s="37" t="e">
        <f t="shared" si="118"/>
        <v>#REF!</v>
      </c>
      <c r="F129" s="39" t="e">
        <f t="shared" si="118"/>
        <v>#REF!</v>
      </c>
      <c r="G129" s="39" t="e">
        <f t="shared" si="118"/>
        <v>#REF!</v>
      </c>
      <c r="H129" s="37">
        <v>58</v>
      </c>
      <c r="I129" s="37"/>
      <c r="J129" s="37"/>
      <c r="K129" s="37"/>
      <c r="L129" s="37"/>
      <c r="M129" s="37"/>
      <c r="N129" s="37">
        <f t="shared" si="114"/>
        <v>58</v>
      </c>
      <c r="O129" s="38" t="e">
        <f t="shared" si="92"/>
        <v>#REF!</v>
      </c>
      <c r="P129" s="37">
        <v>120</v>
      </c>
      <c r="Q129" s="37">
        <v>2</v>
      </c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 t="e">
        <f t="shared" ref="A130:G130" si="119">+#REF!</f>
        <v>#REF!</v>
      </c>
      <c r="B130" s="37" t="e">
        <f t="shared" si="119"/>
        <v>#REF!</v>
      </c>
      <c r="C130" s="38" t="e">
        <f t="shared" si="119"/>
        <v>#REF!</v>
      </c>
      <c r="D130" s="38" t="e">
        <f t="shared" si="119"/>
        <v>#REF!</v>
      </c>
      <c r="E130" s="37" t="e">
        <f t="shared" si="119"/>
        <v>#REF!</v>
      </c>
      <c r="F130" s="39" t="e">
        <f t="shared" si="119"/>
        <v>#REF!</v>
      </c>
      <c r="G130" s="39" t="e">
        <f t="shared" si="119"/>
        <v>#REF!</v>
      </c>
      <c r="H130" s="37">
        <v>58</v>
      </c>
      <c r="I130" s="37"/>
      <c r="J130" s="37"/>
      <c r="K130" s="37"/>
      <c r="L130" s="37"/>
      <c r="M130" s="37">
        <v>6</v>
      </c>
      <c r="N130" s="37">
        <f t="shared" si="114"/>
        <v>58</v>
      </c>
      <c r="O130" s="38" t="e">
        <f t="shared" si="92"/>
        <v>#REF!</v>
      </c>
      <c r="P130" s="37">
        <v>110</v>
      </c>
      <c r="Q130" s="37">
        <v>2</v>
      </c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 t="e">
        <f t="shared" ref="A131:G131" si="120">+#REF!</f>
        <v>#REF!</v>
      </c>
      <c r="B131" s="37" t="e">
        <f t="shared" si="120"/>
        <v>#REF!</v>
      </c>
      <c r="C131" s="38" t="e">
        <f t="shared" si="120"/>
        <v>#REF!</v>
      </c>
      <c r="D131" s="38" t="e">
        <f t="shared" si="120"/>
        <v>#REF!</v>
      </c>
      <c r="E131" s="37" t="e">
        <f t="shared" si="120"/>
        <v>#REF!</v>
      </c>
      <c r="F131" s="39" t="e">
        <f t="shared" si="120"/>
        <v>#REF!</v>
      </c>
      <c r="G131" s="39" t="e">
        <f t="shared" si="120"/>
        <v>#REF!</v>
      </c>
      <c r="H131" s="37">
        <v>60</v>
      </c>
      <c r="I131" s="37"/>
      <c r="J131" s="37"/>
      <c r="K131" s="37">
        <v>3</v>
      </c>
      <c r="L131" s="37"/>
      <c r="M131" s="37">
        <v>6</v>
      </c>
      <c r="N131" s="37">
        <f t="shared" si="114"/>
        <v>63</v>
      </c>
      <c r="O131" s="38" t="e">
        <f t="shared" si="92"/>
        <v>#REF!</v>
      </c>
      <c r="P131" s="37">
        <v>110</v>
      </c>
      <c r="Q131" s="37">
        <v>11</v>
      </c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 t="e">
        <f t="shared" ref="A132:G132" si="121">+#REF!</f>
        <v>#REF!</v>
      </c>
      <c r="B132" s="37" t="e">
        <f t="shared" si="121"/>
        <v>#REF!</v>
      </c>
      <c r="C132" s="38" t="e">
        <f t="shared" si="121"/>
        <v>#REF!</v>
      </c>
      <c r="D132" s="38" t="e">
        <f t="shared" si="121"/>
        <v>#REF!</v>
      </c>
      <c r="E132" s="37" t="e">
        <f t="shared" si="121"/>
        <v>#REF!</v>
      </c>
      <c r="F132" s="39" t="e">
        <f t="shared" si="121"/>
        <v>#REF!</v>
      </c>
      <c r="G132" s="39" t="e">
        <f t="shared" si="121"/>
        <v>#REF!</v>
      </c>
      <c r="H132" s="37">
        <v>60</v>
      </c>
      <c r="I132" s="37"/>
      <c r="J132" s="37"/>
      <c r="K132" s="37">
        <v>3</v>
      </c>
      <c r="L132" s="37"/>
      <c r="M132" s="37">
        <v>6</v>
      </c>
      <c r="N132" s="37">
        <f t="shared" si="114"/>
        <v>63</v>
      </c>
      <c r="O132" s="38" t="e">
        <f t="shared" si="92"/>
        <v>#REF!</v>
      </c>
      <c r="P132" s="37">
        <v>80</v>
      </c>
      <c r="Q132" s="37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37"/>
      <c r="C133" s="38"/>
      <c r="D133" s="38"/>
      <c r="E133" s="37"/>
      <c r="F133" s="39"/>
      <c r="G133" s="39"/>
      <c r="H133" s="37"/>
      <c r="I133" s="37"/>
      <c r="J133" s="37"/>
      <c r="K133" s="37"/>
      <c r="L133" s="37"/>
      <c r="M133" s="37"/>
      <c r="N133" s="37"/>
      <c r="O133" s="38"/>
      <c r="P133" s="37"/>
      <c r="Q133" s="37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37"/>
      <c r="C134" s="38"/>
      <c r="D134" s="38"/>
      <c r="E134" s="37"/>
      <c r="F134" s="39"/>
      <c r="G134" s="39"/>
      <c r="H134" s="37"/>
      <c r="I134" s="37"/>
      <c r="J134" s="37"/>
      <c r="K134" s="37"/>
      <c r="L134" s="37"/>
      <c r="M134" s="37"/>
      <c r="N134" s="37"/>
      <c r="O134" s="38"/>
      <c r="P134" s="37"/>
      <c r="Q134" s="37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34" t="e">
        <f>+#REF!</f>
        <v>#REF!</v>
      </c>
      <c r="C135" s="38"/>
      <c r="D135" s="38"/>
      <c r="E135" s="37"/>
      <c r="F135" s="39"/>
      <c r="G135" s="39" t="e">
        <f>+#REF!</f>
        <v>#REF!</v>
      </c>
      <c r="H135" s="37"/>
      <c r="I135" s="37"/>
      <c r="J135" s="37"/>
      <c r="K135" s="37"/>
      <c r="L135" s="37"/>
      <c r="M135" s="37"/>
      <c r="N135" s="37"/>
      <c r="O135" s="38"/>
      <c r="P135" s="37"/>
      <c r="Q135" s="37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37"/>
      <c r="C136" s="38"/>
      <c r="D136" s="38"/>
      <c r="E136" s="37"/>
      <c r="F136" s="39"/>
      <c r="G136" s="39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3" t="s">
        <v>11</v>
      </c>
      <c r="B137" s="34" t="s">
        <v>11</v>
      </c>
      <c r="C137" s="35" t="s">
        <v>12</v>
      </c>
      <c r="D137" s="35" t="s">
        <v>13</v>
      </c>
      <c r="E137" s="34" t="s">
        <v>14</v>
      </c>
      <c r="F137" s="34" t="s">
        <v>15</v>
      </c>
      <c r="G137" s="36" t="s">
        <v>16</v>
      </c>
      <c r="H137" s="34" t="s">
        <v>19</v>
      </c>
      <c r="I137" s="34" t="s">
        <v>20</v>
      </c>
      <c r="J137" s="34" t="s">
        <v>678</v>
      </c>
      <c r="K137" s="34" t="s">
        <v>21</v>
      </c>
      <c r="L137" s="34" t="s">
        <v>679</v>
      </c>
      <c r="M137" s="34"/>
      <c r="N137" s="34" t="s">
        <v>22</v>
      </c>
      <c r="O137" s="35" t="s">
        <v>681</v>
      </c>
      <c r="P137" s="37"/>
      <c r="Q137" s="37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 t="e">
        <f t="shared" ref="A138:G138" si="122">+#REF!</f>
        <v>#REF!</v>
      </c>
      <c r="B138" s="37" t="e">
        <f t="shared" si="122"/>
        <v>#REF!</v>
      </c>
      <c r="C138" s="38" t="e">
        <f t="shared" si="122"/>
        <v>#REF!</v>
      </c>
      <c r="D138" s="38" t="e">
        <f t="shared" si="122"/>
        <v>#REF!</v>
      </c>
      <c r="E138" s="37" t="e">
        <f t="shared" si="122"/>
        <v>#REF!</v>
      </c>
      <c r="F138" s="39" t="e">
        <f t="shared" si="122"/>
        <v>#REF!</v>
      </c>
      <c r="G138" s="39" t="e">
        <f t="shared" si="122"/>
        <v>#REF!</v>
      </c>
      <c r="H138" s="37">
        <v>35</v>
      </c>
      <c r="I138" s="37"/>
      <c r="J138" s="37"/>
      <c r="K138" s="37">
        <v>10</v>
      </c>
      <c r="L138" s="37">
        <v>10</v>
      </c>
      <c r="M138" s="37"/>
      <c r="N138" s="37">
        <f t="shared" ref="N138:N143" si="123">SUM(H138:L138)</f>
        <v>55</v>
      </c>
      <c r="O138" s="38" t="e">
        <f t="shared" ref="O138:O143" si="124">+#REF!</f>
        <v>#REF!</v>
      </c>
      <c r="P138" s="37">
        <v>56</v>
      </c>
      <c r="Q138" s="37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 t="e">
        <f t="shared" ref="A139:G139" si="125">+#REF!</f>
        <v>#REF!</v>
      </c>
      <c r="B139" s="37" t="e">
        <f t="shared" si="125"/>
        <v>#REF!</v>
      </c>
      <c r="C139" s="38" t="e">
        <f t="shared" si="125"/>
        <v>#REF!</v>
      </c>
      <c r="D139" s="38" t="e">
        <f t="shared" si="125"/>
        <v>#REF!</v>
      </c>
      <c r="E139" s="37" t="e">
        <f t="shared" si="125"/>
        <v>#REF!</v>
      </c>
      <c r="F139" s="39" t="e">
        <f t="shared" si="125"/>
        <v>#REF!</v>
      </c>
      <c r="G139" s="39" t="e">
        <f t="shared" si="125"/>
        <v>#REF!</v>
      </c>
      <c r="H139" s="37">
        <v>40</v>
      </c>
      <c r="I139" s="37"/>
      <c r="J139" s="37"/>
      <c r="K139" s="37">
        <v>5</v>
      </c>
      <c r="L139" s="37">
        <v>10</v>
      </c>
      <c r="M139" s="37"/>
      <c r="N139" s="37">
        <f t="shared" si="123"/>
        <v>55</v>
      </c>
      <c r="O139" s="38" t="e">
        <f t="shared" si="124"/>
        <v>#REF!</v>
      </c>
      <c r="P139" s="37">
        <v>60</v>
      </c>
      <c r="Q139" s="37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 t="e">
        <f t="shared" ref="A140:G140" si="126">+#REF!</f>
        <v>#REF!</v>
      </c>
      <c r="B140" s="37" t="e">
        <f t="shared" si="126"/>
        <v>#REF!</v>
      </c>
      <c r="C140" s="38" t="e">
        <f t="shared" si="126"/>
        <v>#REF!</v>
      </c>
      <c r="D140" s="38" t="e">
        <f t="shared" si="126"/>
        <v>#REF!</v>
      </c>
      <c r="E140" s="37" t="e">
        <f t="shared" si="126"/>
        <v>#REF!</v>
      </c>
      <c r="F140" s="39" t="e">
        <f t="shared" si="126"/>
        <v>#REF!</v>
      </c>
      <c r="G140" s="39" t="e">
        <f t="shared" si="126"/>
        <v>#REF!</v>
      </c>
      <c r="H140" s="37">
        <v>50</v>
      </c>
      <c r="I140" s="37"/>
      <c r="J140" s="37"/>
      <c r="K140" s="37">
        <v>5</v>
      </c>
      <c r="L140" s="37">
        <v>10</v>
      </c>
      <c r="M140" s="37"/>
      <c r="N140" s="37">
        <f t="shared" si="123"/>
        <v>65</v>
      </c>
      <c r="O140" s="38" t="e">
        <f t="shared" si="124"/>
        <v>#REF!</v>
      </c>
      <c r="P140" s="37">
        <v>80</v>
      </c>
      <c r="Q140" s="37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 t="e">
        <f t="shared" ref="A141:G141" si="127">+#REF!</f>
        <v>#REF!</v>
      </c>
      <c r="B141" s="37" t="e">
        <f t="shared" si="127"/>
        <v>#REF!</v>
      </c>
      <c r="C141" s="38" t="e">
        <f t="shared" si="127"/>
        <v>#REF!</v>
      </c>
      <c r="D141" s="38" t="e">
        <f t="shared" si="127"/>
        <v>#REF!</v>
      </c>
      <c r="E141" s="37" t="e">
        <f t="shared" si="127"/>
        <v>#REF!</v>
      </c>
      <c r="F141" s="39" t="e">
        <f t="shared" si="127"/>
        <v>#REF!</v>
      </c>
      <c r="G141" s="39" t="e">
        <f t="shared" si="127"/>
        <v>#REF!</v>
      </c>
      <c r="H141" s="37">
        <v>30</v>
      </c>
      <c r="I141" s="37"/>
      <c r="J141" s="37"/>
      <c r="K141" s="37">
        <v>5</v>
      </c>
      <c r="L141" s="37">
        <v>10</v>
      </c>
      <c r="M141" s="37"/>
      <c r="N141" s="37">
        <f t="shared" si="123"/>
        <v>45</v>
      </c>
      <c r="O141" s="38" t="e">
        <f t="shared" si="124"/>
        <v>#REF!</v>
      </c>
      <c r="P141" s="37">
        <v>60</v>
      </c>
      <c r="Q141" s="37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 t="e">
        <f t="shared" ref="A142:G142" si="128">+#REF!</f>
        <v>#REF!</v>
      </c>
      <c r="B142" s="37" t="e">
        <f t="shared" si="128"/>
        <v>#REF!</v>
      </c>
      <c r="C142" s="38" t="e">
        <f t="shared" si="128"/>
        <v>#REF!</v>
      </c>
      <c r="D142" s="38" t="e">
        <f t="shared" si="128"/>
        <v>#REF!</v>
      </c>
      <c r="E142" s="37" t="e">
        <f t="shared" si="128"/>
        <v>#REF!</v>
      </c>
      <c r="F142" s="39" t="e">
        <f t="shared" si="128"/>
        <v>#REF!</v>
      </c>
      <c r="G142" s="39" t="e">
        <f t="shared" si="128"/>
        <v>#REF!</v>
      </c>
      <c r="H142" s="37">
        <v>50</v>
      </c>
      <c r="I142" s="37"/>
      <c r="J142" s="37"/>
      <c r="K142" s="37">
        <v>5</v>
      </c>
      <c r="L142" s="37">
        <v>10</v>
      </c>
      <c r="M142" s="37"/>
      <c r="N142" s="37">
        <f t="shared" si="123"/>
        <v>65</v>
      </c>
      <c r="O142" s="38" t="e">
        <f t="shared" si="124"/>
        <v>#REF!</v>
      </c>
      <c r="P142" s="37">
        <v>120</v>
      </c>
      <c r="Q142" s="37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 t="e">
        <f t="shared" ref="A143:G143" si="129">+#REF!</f>
        <v>#REF!</v>
      </c>
      <c r="B143" s="37" t="e">
        <f t="shared" si="129"/>
        <v>#REF!</v>
      </c>
      <c r="C143" s="38" t="e">
        <f t="shared" si="129"/>
        <v>#REF!</v>
      </c>
      <c r="D143" s="38" t="e">
        <f t="shared" si="129"/>
        <v>#REF!</v>
      </c>
      <c r="E143" s="37" t="e">
        <f t="shared" si="129"/>
        <v>#REF!</v>
      </c>
      <c r="F143" s="39" t="e">
        <f t="shared" si="129"/>
        <v>#REF!</v>
      </c>
      <c r="G143" s="39" t="e">
        <f t="shared" si="129"/>
        <v>#REF!</v>
      </c>
      <c r="H143" s="37">
        <v>50</v>
      </c>
      <c r="I143" s="37"/>
      <c r="J143" s="37"/>
      <c r="K143" s="37">
        <v>5</v>
      </c>
      <c r="L143" s="37">
        <v>10</v>
      </c>
      <c r="M143" s="37"/>
      <c r="N143" s="37">
        <f t="shared" si="123"/>
        <v>65</v>
      </c>
      <c r="O143" s="38" t="e">
        <f t="shared" si="124"/>
        <v>#REF!</v>
      </c>
      <c r="P143" s="37">
        <v>80</v>
      </c>
      <c r="Q143" s="37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3" t="e">
        <f t="shared" ref="A144:B144" si="130">+#REF!</f>
        <v>#REF!</v>
      </c>
      <c r="B144" s="34" t="e">
        <f t="shared" si="130"/>
        <v>#REF!</v>
      </c>
      <c r="C144" s="35"/>
      <c r="D144" s="35"/>
      <c r="E144" s="34"/>
      <c r="F144" s="36"/>
      <c r="G144" s="36"/>
      <c r="H144" s="34"/>
      <c r="I144" s="34"/>
      <c r="J144" s="34"/>
      <c r="K144" s="34"/>
      <c r="L144" s="34"/>
      <c r="M144" s="34"/>
      <c r="N144" s="34"/>
      <c r="O144" s="35"/>
      <c r="P144" s="34"/>
      <c r="Q144" s="34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2" t="e">
        <f t="shared" ref="A145:G145" si="131">+#REF!</f>
        <v>#REF!</v>
      </c>
      <c r="B145" s="37" t="e">
        <f t="shared" si="131"/>
        <v>#REF!</v>
      </c>
      <c r="C145" s="38" t="e">
        <f t="shared" si="131"/>
        <v>#REF!</v>
      </c>
      <c r="D145" s="38" t="e">
        <f t="shared" si="131"/>
        <v>#REF!</v>
      </c>
      <c r="E145" s="37" t="e">
        <f t="shared" si="131"/>
        <v>#REF!</v>
      </c>
      <c r="F145" s="39" t="e">
        <f t="shared" si="131"/>
        <v>#REF!</v>
      </c>
      <c r="G145" s="39" t="e">
        <f t="shared" si="131"/>
        <v>#REF!</v>
      </c>
      <c r="H145" s="37"/>
      <c r="I145" s="37"/>
      <c r="J145" s="37"/>
      <c r="K145" s="37"/>
      <c r="L145" s="37"/>
      <c r="M145" s="37"/>
      <c r="N145" s="37"/>
      <c r="O145" s="38">
        <v>102</v>
      </c>
      <c r="P145" s="37"/>
      <c r="Q145" s="37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 t="e">
        <f t="shared" ref="A146:G146" si="132">+#REF!</f>
        <v>#REF!</v>
      </c>
      <c r="B146" s="37" t="e">
        <f t="shared" si="132"/>
        <v>#REF!</v>
      </c>
      <c r="C146" s="38" t="e">
        <f t="shared" si="132"/>
        <v>#REF!</v>
      </c>
      <c r="D146" s="38" t="e">
        <f t="shared" si="132"/>
        <v>#REF!</v>
      </c>
      <c r="E146" s="37" t="e">
        <f t="shared" si="132"/>
        <v>#REF!</v>
      </c>
      <c r="F146" s="39" t="e">
        <f t="shared" si="132"/>
        <v>#REF!</v>
      </c>
      <c r="G146" s="39" t="e">
        <f t="shared" si="132"/>
        <v>#REF!</v>
      </c>
      <c r="H146" s="37"/>
      <c r="I146" s="37"/>
      <c r="J146" s="37"/>
      <c r="K146" s="37"/>
      <c r="L146" s="37"/>
      <c r="M146" s="37"/>
      <c r="N146" s="37"/>
      <c r="O146" s="38"/>
      <c r="P146" s="37"/>
      <c r="Q146" s="37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 t="e">
        <f>+#REF!</f>
        <v>#REF!</v>
      </c>
      <c r="B147" s="37"/>
      <c r="C147" s="38"/>
      <c r="D147" s="38"/>
      <c r="E147" s="37"/>
      <c r="F147" s="39"/>
      <c r="G147" s="39"/>
      <c r="H147" s="37"/>
      <c r="I147" s="37"/>
      <c r="J147" s="37"/>
      <c r="K147" s="37"/>
      <c r="L147" s="37"/>
      <c r="M147" s="37"/>
      <c r="N147" s="37"/>
      <c r="O147" s="38"/>
      <c r="P147" s="37"/>
      <c r="Q147" s="37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34" t="e">
        <f>+#REF!</f>
        <v>#REF!</v>
      </c>
      <c r="C148" s="38"/>
      <c r="D148" s="38"/>
      <c r="E148" s="37"/>
      <c r="F148" s="39"/>
      <c r="G148" s="39" t="e">
        <f t="shared" ref="G148:G149" si="133">+#REF!</f>
        <v>#REF!</v>
      </c>
      <c r="H148" s="37"/>
      <c r="I148" s="37"/>
      <c r="J148" s="37"/>
      <c r="K148" s="37"/>
      <c r="L148" s="37"/>
      <c r="M148" s="37"/>
      <c r="N148" s="37"/>
      <c r="O148" s="38"/>
      <c r="P148" s="37"/>
      <c r="Q148" s="37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37"/>
      <c r="C149" s="38"/>
      <c r="D149" s="38"/>
      <c r="E149" s="37"/>
      <c r="F149" s="39"/>
      <c r="G149" s="39" t="e">
        <f t="shared" si="133"/>
        <v>#REF!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3" t="s">
        <v>11</v>
      </c>
      <c r="B150" s="34" t="s">
        <v>11</v>
      </c>
      <c r="C150" s="35" t="s">
        <v>12</v>
      </c>
      <c r="D150" s="35" t="s">
        <v>13</v>
      </c>
      <c r="E150" s="34" t="s">
        <v>14</v>
      </c>
      <c r="F150" s="34" t="s">
        <v>15</v>
      </c>
      <c r="G150" s="36" t="s">
        <v>16</v>
      </c>
      <c r="H150" s="34" t="s">
        <v>19</v>
      </c>
      <c r="I150" s="34" t="s">
        <v>20</v>
      </c>
      <c r="J150" s="34" t="s">
        <v>678</v>
      </c>
      <c r="K150" s="34" t="s">
        <v>21</v>
      </c>
      <c r="L150" s="34" t="s">
        <v>679</v>
      </c>
      <c r="M150" s="34"/>
      <c r="N150" s="34" t="s">
        <v>22</v>
      </c>
      <c r="O150" s="35" t="s">
        <v>681</v>
      </c>
      <c r="P150" s="37"/>
      <c r="Q150" s="37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 t="e">
        <f t="shared" ref="A151:G151" si="134">+#REF!</f>
        <v>#REF!</v>
      </c>
      <c r="B151" s="37" t="e">
        <f t="shared" si="134"/>
        <v>#REF!</v>
      </c>
      <c r="C151" s="37" t="e">
        <f t="shared" si="134"/>
        <v>#REF!</v>
      </c>
      <c r="D151" s="38" t="e">
        <f t="shared" si="134"/>
        <v>#REF!</v>
      </c>
      <c r="E151" s="37" t="e">
        <f t="shared" si="134"/>
        <v>#REF!</v>
      </c>
      <c r="F151" s="39" t="e">
        <f t="shared" si="134"/>
        <v>#REF!</v>
      </c>
      <c r="G151" s="39" t="e">
        <f t="shared" si="134"/>
        <v>#REF!</v>
      </c>
      <c r="H151" s="37">
        <v>20</v>
      </c>
      <c r="I151" s="37"/>
      <c r="J151" s="37"/>
      <c r="K151" s="37"/>
      <c r="L151" s="37"/>
      <c r="M151" s="37"/>
      <c r="N151" s="37">
        <f t="shared" ref="N151:N180" si="135">SUM(H151:L151)</f>
        <v>20</v>
      </c>
      <c r="O151" s="38" t="e">
        <f t="shared" ref="O151:O170" si="136">+#REF!</f>
        <v>#REF!</v>
      </c>
      <c r="P151" s="37"/>
      <c r="Q151" s="37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 t="e">
        <f t="shared" ref="A152:G152" si="137">+#REF!</f>
        <v>#REF!</v>
      </c>
      <c r="B152" s="37" t="e">
        <f t="shared" si="137"/>
        <v>#REF!</v>
      </c>
      <c r="C152" s="37" t="e">
        <f t="shared" si="137"/>
        <v>#REF!</v>
      </c>
      <c r="D152" s="38" t="e">
        <f t="shared" si="137"/>
        <v>#REF!</v>
      </c>
      <c r="E152" s="37" t="e">
        <f t="shared" si="137"/>
        <v>#REF!</v>
      </c>
      <c r="F152" s="39" t="e">
        <f t="shared" si="137"/>
        <v>#REF!</v>
      </c>
      <c r="G152" s="39" t="e">
        <f t="shared" si="137"/>
        <v>#REF!</v>
      </c>
      <c r="H152" s="37">
        <v>20</v>
      </c>
      <c r="I152" s="37"/>
      <c r="J152" s="37"/>
      <c r="K152" s="37"/>
      <c r="L152" s="37"/>
      <c r="M152" s="37"/>
      <c r="N152" s="37">
        <f t="shared" si="135"/>
        <v>20</v>
      </c>
      <c r="O152" s="38" t="e">
        <f t="shared" si="136"/>
        <v>#REF!</v>
      </c>
      <c r="P152" s="37"/>
      <c r="Q152" s="37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 t="e">
        <f t="shared" ref="A153:G153" si="138">+#REF!</f>
        <v>#REF!</v>
      </c>
      <c r="B153" s="37" t="e">
        <f t="shared" si="138"/>
        <v>#REF!</v>
      </c>
      <c r="C153" s="37" t="e">
        <f t="shared" si="138"/>
        <v>#REF!</v>
      </c>
      <c r="D153" s="38" t="e">
        <f t="shared" si="138"/>
        <v>#REF!</v>
      </c>
      <c r="E153" s="37" t="e">
        <f t="shared" si="138"/>
        <v>#REF!</v>
      </c>
      <c r="F153" s="39" t="e">
        <f t="shared" si="138"/>
        <v>#REF!</v>
      </c>
      <c r="G153" s="39" t="e">
        <f t="shared" si="138"/>
        <v>#REF!</v>
      </c>
      <c r="H153" s="37">
        <v>20</v>
      </c>
      <c r="I153" s="37"/>
      <c r="J153" s="37"/>
      <c r="K153" s="37"/>
      <c r="L153" s="37"/>
      <c r="M153" s="37"/>
      <c r="N153" s="37">
        <f t="shared" si="135"/>
        <v>20</v>
      </c>
      <c r="O153" s="38" t="e">
        <f t="shared" si="136"/>
        <v>#REF!</v>
      </c>
      <c r="P153" s="37"/>
      <c r="Q153" s="37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 t="e">
        <f t="shared" ref="A154:G154" si="139">+#REF!</f>
        <v>#REF!</v>
      </c>
      <c r="B154" s="37" t="e">
        <f t="shared" si="139"/>
        <v>#REF!</v>
      </c>
      <c r="C154" s="37" t="e">
        <f t="shared" si="139"/>
        <v>#REF!</v>
      </c>
      <c r="D154" s="38" t="e">
        <f t="shared" si="139"/>
        <v>#REF!</v>
      </c>
      <c r="E154" s="37" t="e">
        <f t="shared" si="139"/>
        <v>#REF!</v>
      </c>
      <c r="F154" s="39" t="e">
        <f t="shared" si="139"/>
        <v>#REF!</v>
      </c>
      <c r="G154" s="39" t="e">
        <f t="shared" si="139"/>
        <v>#REF!</v>
      </c>
      <c r="H154" s="37">
        <v>40</v>
      </c>
      <c r="I154" s="37"/>
      <c r="J154" s="37"/>
      <c r="K154" s="37">
        <v>5</v>
      </c>
      <c r="L154" s="37"/>
      <c r="M154" s="37"/>
      <c r="N154" s="37">
        <f t="shared" si="135"/>
        <v>45</v>
      </c>
      <c r="O154" s="38" t="e">
        <f t="shared" si="136"/>
        <v>#REF!</v>
      </c>
      <c r="P154" s="37">
        <v>60</v>
      </c>
      <c r="Q154" s="37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 t="e">
        <f t="shared" ref="A155:G155" si="140">+#REF!</f>
        <v>#REF!</v>
      </c>
      <c r="B155" s="37" t="e">
        <f t="shared" si="140"/>
        <v>#REF!</v>
      </c>
      <c r="C155" s="37" t="e">
        <f t="shared" si="140"/>
        <v>#REF!</v>
      </c>
      <c r="D155" s="38" t="e">
        <f t="shared" si="140"/>
        <v>#REF!</v>
      </c>
      <c r="E155" s="37" t="e">
        <f t="shared" si="140"/>
        <v>#REF!</v>
      </c>
      <c r="F155" s="39" t="e">
        <f t="shared" si="140"/>
        <v>#REF!</v>
      </c>
      <c r="G155" s="39" t="e">
        <f t="shared" si="140"/>
        <v>#REF!</v>
      </c>
      <c r="H155" s="37">
        <v>15</v>
      </c>
      <c r="I155" s="37"/>
      <c r="J155" s="37"/>
      <c r="K155" s="37"/>
      <c r="L155" s="37"/>
      <c r="M155" s="37"/>
      <c r="N155" s="37">
        <f t="shared" si="135"/>
        <v>15</v>
      </c>
      <c r="O155" s="38" t="e">
        <f t="shared" si="136"/>
        <v>#REF!</v>
      </c>
      <c r="P155" s="37">
        <v>15</v>
      </c>
      <c r="Q155" s="37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 t="e">
        <f t="shared" ref="A156:G156" si="141">+#REF!</f>
        <v>#REF!</v>
      </c>
      <c r="B156" s="37" t="e">
        <f t="shared" si="141"/>
        <v>#REF!</v>
      </c>
      <c r="C156" s="37" t="e">
        <f t="shared" si="141"/>
        <v>#REF!</v>
      </c>
      <c r="D156" s="38" t="e">
        <f t="shared" si="141"/>
        <v>#REF!</v>
      </c>
      <c r="E156" s="37" t="e">
        <f t="shared" si="141"/>
        <v>#REF!</v>
      </c>
      <c r="F156" s="39" t="e">
        <f t="shared" si="141"/>
        <v>#REF!</v>
      </c>
      <c r="G156" s="39" t="e">
        <f t="shared" si="141"/>
        <v>#REF!</v>
      </c>
      <c r="H156" s="37">
        <v>40</v>
      </c>
      <c r="I156" s="37"/>
      <c r="J156" s="37"/>
      <c r="K156" s="37">
        <v>5</v>
      </c>
      <c r="L156" s="37"/>
      <c r="M156" s="37"/>
      <c r="N156" s="37">
        <f t="shared" si="135"/>
        <v>45</v>
      </c>
      <c r="O156" s="38" t="e">
        <f t="shared" si="136"/>
        <v>#REF!</v>
      </c>
      <c r="P156" s="37">
        <v>60</v>
      </c>
      <c r="Q156" s="37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 t="e">
        <f t="shared" ref="A157:G157" si="142">+#REF!</f>
        <v>#REF!</v>
      </c>
      <c r="B157" s="37" t="e">
        <f t="shared" si="142"/>
        <v>#REF!</v>
      </c>
      <c r="C157" s="37" t="e">
        <f t="shared" si="142"/>
        <v>#REF!</v>
      </c>
      <c r="D157" s="38" t="e">
        <f t="shared" si="142"/>
        <v>#REF!</v>
      </c>
      <c r="E157" s="37" t="e">
        <f t="shared" si="142"/>
        <v>#REF!</v>
      </c>
      <c r="F157" s="39" t="e">
        <f t="shared" si="142"/>
        <v>#REF!</v>
      </c>
      <c r="G157" s="39" t="e">
        <f t="shared" si="142"/>
        <v>#REF!</v>
      </c>
      <c r="H157" s="37">
        <v>15</v>
      </c>
      <c r="I157" s="37"/>
      <c r="J157" s="37"/>
      <c r="K157" s="37"/>
      <c r="L157" s="37"/>
      <c r="M157" s="37"/>
      <c r="N157" s="37">
        <f t="shared" si="135"/>
        <v>15</v>
      </c>
      <c r="O157" s="38" t="e">
        <f t="shared" si="136"/>
        <v>#REF!</v>
      </c>
      <c r="P157" s="37">
        <v>45</v>
      </c>
      <c r="Q157" s="37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 t="e">
        <f t="shared" ref="A158:G158" si="143">+#REF!</f>
        <v>#REF!</v>
      </c>
      <c r="B158" s="37" t="e">
        <f t="shared" si="143"/>
        <v>#REF!</v>
      </c>
      <c r="C158" s="37" t="e">
        <f t="shared" si="143"/>
        <v>#REF!</v>
      </c>
      <c r="D158" s="38" t="e">
        <f t="shared" si="143"/>
        <v>#REF!</v>
      </c>
      <c r="E158" s="37" t="e">
        <f t="shared" si="143"/>
        <v>#REF!</v>
      </c>
      <c r="F158" s="39" t="e">
        <f t="shared" si="143"/>
        <v>#REF!</v>
      </c>
      <c r="G158" s="39" t="e">
        <f t="shared" si="143"/>
        <v>#REF!</v>
      </c>
      <c r="H158" s="37">
        <v>40</v>
      </c>
      <c r="I158" s="37"/>
      <c r="J158" s="37"/>
      <c r="K158" s="37">
        <v>5</v>
      </c>
      <c r="L158" s="37"/>
      <c r="M158" s="37"/>
      <c r="N158" s="37">
        <f t="shared" si="135"/>
        <v>45</v>
      </c>
      <c r="O158" s="38" t="e">
        <f t="shared" si="136"/>
        <v>#REF!</v>
      </c>
      <c r="P158" s="37">
        <v>60</v>
      </c>
      <c r="Q158" s="37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 t="e">
        <f t="shared" ref="A159:G159" si="144">+#REF!</f>
        <v>#REF!</v>
      </c>
      <c r="B159" s="37" t="e">
        <f t="shared" si="144"/>
        <v>#REF!</v>
      </c>
      <c r="C159" s="37" t="e">
        <f t="shared" si="144"/>
        <v>#REF!</v>
      </c>
      <c r="D159" s="38" t="e">
        <f t="shared" si="144"/>
        <v>#REF!</v>
      </c>
      <c r="E159" s="37" t="e">
        <f t="shared" si="144"/>
        <v>#REF!</v>
      </c>
      <c r="F159" s="39" t="e">
        <f t="shared" si="144"/>
        <v>#REF!</v>
      </c>
      <c r="G159" s="39" t="e">
        <f t="shared" si="144"/>
        <v>#REF!</v>
      </c>
      <c r="H159" s="37">
        <v>20</v>
      </c>
      <c r="I159" s="37"/>
      <c r="J159" s="37"/>
      <c r="K159" s="37"/>
      <c r="L159" s="37"/>
      <c r="M159" s="37"/>
      <c r="N159" s="37">
        <f t="shared" si="135"/>
        <v>20</v>
      </c>
      <c r="O159" s="38" t="e">
        <f t="shared" si="136"/>
        <v>#REF!</v>
      </c>
      <c r="P159" s="37">
        <v>60</v>
      </c>
      <c r="Q159" s="37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 t="e">
        <f t="shared" ref="A160:G160" si="145">+#REF!</f>
        <v>#REF!</v>
      </c>
      <c r="B160" s="37" t="e">
        <f t="shared" si="145"/>
        <v>#REF!</v>
      </c>
      <c r="C160" s="37" t="e">
        <f t="shared" si="145"/>
        <v>#REF!</v>
      </c>
      <c r="D160" s="38" t="e">
        <f t="shared" si="145"/>
        <v>#REF!</v>
      </c>
      <c r="E160" s="37" t="e">
        <f t="shared" si="145"/>
        <v>#REF!</v>
      </c>
      <c r="F160" s="39" t="e">
        <f t="shared" si="145"/>
        <v>#REF!</v>
      </c>
      <c r="G160" s="39" t="e">
        <f t="shared" si="145"/>
        <v>#REF!</v>
      </c>
      <c r="H160" s="37">
        <v>40</v>
      </c>
      <c r="I160" s="37"/>
      <c r="J160" s="37"/>
      <c r="K160" s="37"/>
      <c r="L160" s="37"/>
      <c r="M160" s="37"/>
      <c r="N160" s="37">
        <f t="shared" si="135"/>
        <v>40</v>
      </c>
      <c r="O160" s="38" t="e">
        <f t="shared" si="136"/>
        <v>#REF!</v>
      </c>
      <c r="P160" s="37">
        <v>56</v>
      </c>
      <c r="Q160" s="37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 t="e">
        <f t="shared" ref="A161:G161" si="146">+#REF!</f>
        <v>#REF!</v>
      </c>
      <c r="B161" s="37" t="e">
        <f t="shared" si="146"/>
        <v>#REF!</v>
      </c>
      <c r="C161" s="37" t="e">
        <f t="shared" si="146"/>
        <v>#REF!</v>
      </c>
      <c r="D161" s="38" t="e">
        <f t="shared" si="146"/>
        <v>#REF!</v>
      </c>
      <c r="E161" s="37" t="e">
        <f t="shared" si="146"/>
        <v>#REF!</v>
      </c>
      <c r="F161" s="39" t="e">
        <f t="shared" si="146"/>
        <v>#REF!</v>
      </c>
      <c r="G161" s="39" t="e">
        <f t="shared" si="146"/>
        <v>#REF!</v>
      </c>
      <c r="H161" s="37">
        <v>40</v>
      </c>
      <c r="I161" s="37"/>
      <c r="J161" s="37"/>
      <c r="K161" s="37"/>
      <c r="L161" s="37"/>
      <c r="M161" s="37"/>
      <c r="N161" s="37">
        <f t="shared" si="135"/>
        <v>40</v>
      </c>
      <c r="O161" s="38" t="e">
        <f t="shared" si="136"/>
        <v>#REF!</v>
      </c>
      <c r="P161" s="37">
        <v>45</v>
      </c>
      <c r="Q161" s="37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 t="e">
        <f t="shared" ref="A162:G162" si="147">+#REF!</f>
        <v>#REF!</v>
      </c>
      <c r="B162" s="37" t="e">
        <f t="shared" si="147"/>
        <v>#REF!</v>
      </c>
      <c r="C162" s="37" t="e">
        <f t="shared" si="147"/>
        <v>#REF!</v>
      </c>
      <c r="D162" s="38" t="e">
        <f t="shared" si="147"/>
        <v>#REF!</v>
      </c>
      <c r="E162" s="37" t="e">
        <f t="shared" si="147"/>
        <v>#REF!</v>
      </c>
      <c r="F162" s="39" t="e">
        <f t="shared" si="147"/>
        <v>#REF!</v>
      </c>
      <c r="G162" s="39" t="e">
        <f t="shared" si="147"/>
        <v>#REF!</v>
      </c>
      <c r="H162" s="37">
        <v>40</v>
      </c>
      <c r="I162" s="37"/>
      <c r="J162" s="37"/>
      <c r="K162" s="37">
        <v>5</v>
      </c>
      <c r="L162" s="37"/>
      <c r="M162" s="37"/>
      <c r="N162" s="37">
        <f t="shared" si="135"/>
        <v>45</v>
      </c>
      <c r="O162" s="38" t="e">
        <f t="shared" si="136"/>
        <v>#REF!</v>
      </c>
      <c r="P162" s="37">
        <v>60</v>
      </c>
      <c r="Q162" s="37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 t="e">
        <f t="shared" ref="A163:G163" si="148">+#REF!</f>
        <v>#REF!</v>
      </c>
      <c r="B163" s="37" t="e">
        <f t="shared" si="148"/>
        <v>#REF!</v>
      </c>
      <c r="C163" s="37" t="e">
        <f t="shared" si="148"/>
        <v>#REF!</v>
      </c>
      <c r="D163" s="38" t="e">
        <f t="shared" si="148"/>
        <v>#REF!</v>
      </c>
      <c r="E163" s="37" t="e">
        <f t="shared" si="148"/>
        <v>#REF!</v>
      </c>
      <c r="F163" s="39" t="e">
        <f t="shared" si="148"/>
        <v>#REF!</v>
      </c>
      <c r="G163" s="39" t="e">
        <f t="shared" si="148"/>
        <v>#REF!</v>
      </c>
      <c r="H163" s="37">
        <v>15</v>
      </c>
      <c r="I163" s="37"/>
      <c r="J163" s="37"/>
      <c r="K163" s="37"/>
      <c r="L163" s="37"/>
      <c r="M163" s="37"/>
      <c r="N163" s="37">
        <f t="shared" si="135"/>
        <v>15</v>
      </c>
      <c r="O163" s="38" t="e">
        <f t="shared" si="136"/>
        <v>#REF!</v>
      </c>
      <c r="P163" s="37">
        <v>15</v>
      </c>
      <c r="Q163" s="37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 t="e">
        <f t="shared" ref="A164:G164" si="149">+#REF!</f>
        <v>#REF!</v>
      </c>
      <c r="B164" s="37" t="e">
        <f t="shared" si="149"/>
        <v>#REF!</v>
      </c>
      <c r="C164" s="37" t="e">
        <f t="shared" si="149"/>
        <v>#REF!</v>
      </c>
      <c r="D164" s="38" t="e">
        <f t="shared" si="149"/>
        <v>#REF!</v>
      </c>
      <c r="E164" s="37" t="e">
        <f t="shared" si="149"/>
        <v>#REF!</v>
      </c>
      <c r="F164" s="39" t="e">
        <f t="shared" si="149"/>
        <v>#REF!</v>
      </c>
      <c r="G164" s="39" t="e">
        <f t="shared" si="149"/>
        <v>#REF!</v>
      </c>
      <c r="H164" s="37">
        <v>40</v>
      </c>
      <c r="I164" s="37"/>
      <c r="J164" s="37"/>
      <c r="K164" s="37"/>
      <c r="L164" s="37"/>
      <c r="M164" s="37"/>
      <c r="N164" s="37">
        <f t="shared" si="135"/>
        <v>40</v>
      </c>
      <c r="O164" s="38" t="e">
        <f t="shared" si="136"/>
        <v>#REF!</v>
      </c>
      <c r="P164" s="37">
        <v>56</v>
      </c>
      <c r="Q164" s="37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 t="e">
        <f t="shared" ref="A165:G165" si="150">+#REF!</f>
        <v>#REF!</v>
      </c>
      <c r="B165" s="37" t="e">
        <f t="shared" si="150"/>
        <v>#REF!</v>
      </c>
      <c r="C165" s="37" t="e">
        <f t="shared" si="150"/>
        <v>#REF!</v>
      </c>
      <c r="D165" s="38" t="e">
        <f t="shared" si="150"/>
        <v>#REF!</v>
      </c>
      <c r="E165" s="37" t="e">
        <f t="shared" si="150"/>
        <v>#REF!</v>
      </c>
      <c r="F165" s="39" t="e">
        <f t="shared" si="150"/>
        <v>#REF!</v>
      </c>
      <c r="G165" s="39" t="e">
        <f t="shared" si="150"/>
        <v>#REF!</v>
      </c>
      <c r="H165" s="37">
        <v>30</v>
      </c>
      <c r="I165" s="37"/>
      <c r="J165" s="37"/>
      <c r="K165" s="37">
        <v>5</v>
      </c>
      <c r="L165" s="37"/>
      <c r="M165" s="37"/>
      <c r="N165" s="37">
        <f t="shared" si="135"/>
        <v>35</v>
      </c>
      <c r="O165" s="38" t="e">
        <f t="shared" si="136"/>
        <v>#REF!</v>
      </c>
      <c r="P165" s="37">
        <v>56</v>
      </c>
      <c r="Q165" s="37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 t="e">
        <f t="shared" ref="A166:G166" si="151">+#REF!</f>
        <v>#REF!</v>
      </c>
      <c r="B166" s="37" t="e">
        <f t="shared" si="151"/>
        <v>#REF!</v>
      </c>
      <c r="C166" s="37" t="e">
        <f t="shared" si="151"/>
        <v>#REF!</v>
      </c>
      <c r="D166" s="38" t="e">
        <f t="shared" si="151"/>
        <v>#REF!</v>
      </c>
      <c r="E166" s="37" t="e">
        <f t="shared" si="151"/>
        <v>#REF!</v>
      </c>
      <c r="F166" s="39" t="e">
        <f t="shared" si="151"/>
        <v>#REF!</v>
      </c>
      <c r="G166" s="39" t="e">
        <f t="shared" si="151"/>
        <v>#REF!</v>
      </c>
      <c r="H166" s="37">
        <v>40</v>
      </c>
      <c r="I166" s="37"/>
      <c r="J166" s="37"/>
      <c r="K166" s="37"/>
      <c r="L166" s="37"/>
      <c r="M166" s="37"/>
      <c r="N166" s="37">
        <f t="shared" si="135"/>
        <v>40</v>
      </c>
      <c r="O166" s="38" t="e">
        <f t="shared" si="136"/>
        <v>#REF!</v>
      </c>
      <c r="P166" s="37">
        <v>60</v>
      </c>
      <c r="Q166" s="37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 t="e">
        <f t="shared" ref="A167:G167" si="152">+#REF!</f>
        <v>#REF!</v>
      </c>
      <c r="B167" s="37" t="e">
        <f t="shared" si="152"/>
        <v>#REF!</v>
      </c>
      <c r="C167" s="37" t="e">
        <f t="shared" si="152"/>
        <v>#REF!</v>
      </c>
      <c r="D167" s="38" t="e">
        <f t="shared" si="152"/>
        <v>#REF!</v>
      </c>
      <c r="E167" s="37" t="e">
        <f t="shared" si="152"/>
        <v>#REF!</v>
      </c>
      <c r="F167" s="39" t="e">
        <f t="shared" si="152"/>
        <v>#REF!</v>
      </c>
      <c r="G167" s="39" t="e">
        <f t="shared" si="152"/>
        <v>#REF!</v>
      </c>
      <c r="H167" s="37">
        <v>20</v>
      </c>
      <c r="I167" s="37"/>
      <c r="J167" s="37"/>
      <c r="K167" s="37"/>
      <c r="L167" s="37"/>
      <c r="M167" s="37"/>
      <c r="N167" s="37">
        <f t="shared" si="135"/>
        <v>20</v>
      </c>
      <c r="O167" s="38" t="e">
        <f t="shared" si="136"/>
        <v>#REF!</v>
      </c>
      <c r="P167" s="37">
        <v>80</v>
      </c>
      <c r="Q167" s="37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 t="e">
        <f t="shared" ref="A168:G168" si="153">+#REF!</f>
        <v>#REF!</v>
      </c>
      <c r="B168" s="37" t="e">
        <f t="shared" si="153"/>
        <v>#REF!</v>
      </c>
      <c r="C168" s="37" t="e">
        <f t="shared" si="153"/>
        <v>#REF!</v>
      </c>
      <c r="D168" s="38" t="e">
        <f t="shared" si="153"/>
        <v>#REF!</v>
      </c>
      <c r="E168" s="37" t="e">
        <f t="shared" si="153"/>
        <v>#REF!</v>
      </c>
      <c r="F168" s="39" t="e">
        <f t="shared" si="153"/>
        <v>#REF!</v>
      </c>
      <c r="G168" s="39" t="e">
        <f t="shared" si="153"/>
        <v>#REF!</v>
      </c>
      <c r="H168" s="37">
        <v>15</v>
      </c>
      <c r="I168" s="37"/>
      <c r="J168" s="37"/>
      <c r="K168" s="37"/>
      <c r="L168" s="37"/>
      <c r="M168" s="37"/>
      <c r="N168" s="37">
        <f t="shared" si="135"/>
        <v>15</v>
      </c>
      <c r="O168" s="38" t="e">
        <f t="shared" si="136"/>
        <v>#REF!</v>
      </c>
      <c r="P168" s="37">
        <v>15</v>
      </c>
      <c r="Q168" s="37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 t="e">
        <f t="shared" ref="A169:G169" si="154">+#REF!</f>
        <v>#REF!</v>
      </c>
      <c r="B169" s="37" t="e">
        <f t="shared" si="154"/>
        <v>#REF!</v>
      </c>
      <c r="C169" s="37" t="e">
        <f t="shared" si="154"/>
        <v>#REF!</v>
      </c>
      <c r="D169" s="38" t="e">
        <f t="shared" si="154"/>
        <v>#REF!</v>
      </c>
      <c r="E169" s="37" t="e">
        <f t="shared" si="154"/>
        <v>#REF!</v>
      </c>
      <c r="F169" s="39" t="e">
        <f t="shared" si="154"/>
        <v>#REF!</v>
      </c>
      <c r="G169" s="39" t="e">
        <f t="shared" si="154"/>
        <v>#REF!</v>
      </c>
      <c r="H169" s="37">
        <v>30</v>
      </c>
      <c r="I169" s="37"/>
      <c r="J169" s="37"/>
      <c r="K169" s="37"/>
      <c r="L169" s="37"/>
      <c r="M169" s="37"/>
      <c r="N169" s="37">
        <f t="shared" si="135"/>
        <v>30</v>
      </c>
      <c r="O169" s="38" t="e">
        <f t="shared" si="136"/>
        <v>#REF!</v>
      </c>
      <c r="P169" s="37">
        <v>56</v>
      </c>
      <c r="Q169" s="37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 t="e">
        <f t="shared" ref="A170:G170" si="155">+#REF!</f>
        <v>#REF!</v>
      </c>
      <c r="B170" s="37" t="e">
        <f t="shared" si="155"/>
        <v>#REF!</v>
      </c>
      <c r="C170" s="37" t="e">
        <f t="shared" si="155"/>
        <v>#REF!</v>
      </c>
      <c r="D170" s="38" t="e">
        <f t="shared" si="155"/>
        <v>#REF!</v>
      </c>
      <c r="E170" s="37" t="e">
        <f t="shared" si="155"/>
        <v>#REF!</v>
      </c>
      <c r="F170" s="39" t="e">
        <f t="shared" si="155"/>
        <v>#REF!</v>
      </c>
      <c r="G170" s="39" t="e">
        <f t="shared" si="155"/>
        <v>#REF!</v>
      </c>
      <c r="H170" s="37">
        <v>20</v>
      </c>
      <c r="I170" s="37"/>
      <c r="J170" s="37"/>
      <c r="K170" s="37"/>
      <c r="L170" s="37"/>
      <c r="M170" s="37"/>
      <c r="N170" s="37">
        <f t="shared" si="135"/>
        <v>20</v>
      </c>
      <c r="O170" s="38" t="e">
        <f t="shared" si="136"/>
        <v>#REF!</v>
      </c>
      <c r="P170" s="37">
        <v>60</v>
      </c>
      <c r="Q170" s="37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 t="e">
        <f t="shared" ref="A171:G171" si="156">+#REF!</f>
        <v>#REF!</v>
      </c>
      <c r="B171" s="37" t="e">
        <f t="shared" si="156"/>
        <v>#REF!</v>
      </c>
      <c r="C171" s="37" t="e">
        <f t="shared" si="156"/>
        <v>#REF!</v>
      </c>
      <c r="D171" s="38" t="e">
        <f t="shared" si="156"/>
        <v>#REF!</v>
      </c>
      <c r="E171" s="37" t="e">
        <f t="shared" si="156"/>
        <v>#REF!</v>
      </c>
      <c r="F171" s="39" t="e">
        <f t="shared" si="156"/>
        <v>#REF!</v>
      </c>
      <c r="G171" s="39" t="e">
        <f t="shared" si="156"/>
        <v>#REF!</v>
      </c>
      <c r="H171" s="37">
        <v>40</v>
      </c>
      <c r="I171" s="37"/>
      <c r="J171" s="37"/>
      <c r="K171" s="37"/>
      <c r="L171" s="37"/>
      <c r="M171" s="37"/>
      <c r="N171" s="37">
        <f t="shared" si="135"/>
        <v>40</v>
      </c>
      <c r="O171" s="38"/>
      <c r="P171" s="37"/>
      <c r="Q171" s="37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 t="e">
        <f t="shared" ref="A172:G172" si="157">+#REF!</f>
        <v>#REF!</v>
      </c>
      <c r="B172" s="37" t="e">
        <f t="shared" si="157"/>
        <v>#REF!</v>
      </c>
      <c r="C172" s="37" t="e">
        <f t="shared" si="157"/>
        <v>#REF!</v>
      </c>
      <c r="D172" s="38" t="e">
        <f t="shared" si="157"/>
        <v>#REF!</v>
      </c>
      <c r="E172" s="37" t="e">
        <f t="shared" si="157"/>
        <v>#REF!</v>
      </c>
      <c r="F172" s="39" t="e">
        <f t="shared" si="157"/>
        <v>#REF!</v>
      </c>
      <c r="G172" s="39" t="e">
        <f t="shared" si="157"/>
        <v>#REF!</v>
      </c>
      <c r="H172" s="37">
        <v>40</v>
      </c>
      <c r="I172" s="37"/>
      <c r="J172" s="37"/>
      <c r="K172" s="37"/>
      <c r="L172" s="37"/>
      <c r="M172" s="37"/>
      <c r="N172" s="37">
        <f t="shared" si="135"/>
        <v>40</v>
      </c>
      <c r="O172" s="38" t="e">
        <f t="shared" ref="O172:O174" si="158">+#REF!</f>
        <v>#REF!</v>
      </c>
      <c r="P172" s="37">
        <v>45</v>
      </c>
      <c r="Q172" s="37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 t="e">
        <f t="shared" ref="A173:G173" si="159">+#REF!</f>
        <v>#REF!</v>
      </c>
      <c r="B173" s="37" t="e">
        <f t="shared" si="159"/>
        <v>#REF!</v>
      </c>
      <c r="C173" s="37" t="e">
        <f t="shared" si="159"/>
        <v>#REF!</v>
      </c>
      <c r="D173" s="38" t="e">
        <f t="shared" si="159"/>
        <v>#REF!</v>
      </c>
      <c r="E173" s="37" t="e">
        <f t="shared" si="159"/>
        <v>#REF!</v>
      </c>
      <c r="F173" s="39" t="e">
        <f t="shared" si="159"/>
        <v>#REF!</v>
      </c>
      <c r="G173" s="39" t="e">
        <f t="shared" si="159"/>
        <v>#REF!</v>
      </c>
      <c r="H173" s="37">
        <v>40</v>
      </c>
      <c r="I173" s="37"/>
      <c r="J173" s="37"/>
      <c r="K173" s="37"/>
      <c r="L173" s="37"/>
      <c r="M173" s="37"/>
      <c r="N173" s="37">
        <f t="shared" si="135"/>
        <v>40</v>
      </c>
      <c r="O173" s="38" t="e">
        <f t="shared" si="158"/>
        <v>#REF!</v>
      </c>
      <c r="P173" s="37">
        <v>56</v>
      </c>
      <c r="Q173" s="37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 t="e">
        <f t="shared" ref="A174:G174" si="160">+#REF!</f>
        <v>#REF!</v>
      </c>
      <c r="B174" s="37" t="e">
        <f t="shared" si="160"/>
        <v>#REF!</v>
      </c>
      <c r="C174" s="37" t="e">
        <f t="shared" si="160"/>
        <v>#REF!</v>
      </c>
      <c r="D174" s="38" t="e">
        <f t="shared" si="160"/>
        <v>#REF!</v>
      </c>
      <c r="E174" s="37" t="e">
        <f t="shared" si="160"/>
        <v>#REF!</v>
      </c>
      <c r="F174" s="39" t="e">
        <f t="shared" si="160"/>
        <v>#REF!</v>
      </c>
      <c r="G174" s="39" t="e">
        <f t="shared" si="160"/>
        <v>#REF!</v>
      </c>
      <c r="H174" s="37">
        <v>15</v>
      </c>
      <c r="I174" s="37"/>
      <c r="J174" s="37"/>
      <c r="K174" s="37"/>
      <c r="L174" s="37"/>
      <c r="M174" s="37"/>
      <c r="N174" s="37">
        <f t="shared" si="135"/>
        <v>15</v>
      </c>
      <c r="O174" s="38" t="e">
        <f t="shared" si="158"/>
        <v>#REF!</v>
      </c>
      <c r="P174" s="37">
        <v>15</v>
      </c>
      <c r="Q174" s="37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 t="e">
        <f t="shared" ref="A175:G175" si="161">+#REF!</f>
        <v>#REF!</v>
      </c>
      <c r="B175" s="37" t="e">
        <f t="shared" si="161"/>
        <v>#REF!</v>
      </c>
      <c r="C175" s="37" t="e">
        <f t="shared" si="161"/>
        <v>#REF!</v>
      </c>
      <c r="D175" s="38" t="e">
        <f t="shared" si="161"/>
        <v>#REF!</v>
      </c>
      <c r="E175" s="37" t="e">
        <f t="shared" si="161"/>
        <v>#REF!</v>
      </c>
      <c r="F175" s="39" t="e">
        <f t="shared" si="161"/>
        <v>#REF!</v>
      </c>
      <c r="G175" s="39" t="e">
        <f t="shared" si="161"/>
        <v>#REF!</v>
      </c>
      <c r="H175" s="37">
        <v>10</v>
      </c>
      <c r="I175" s="37"/>
      <c r="J175" s="37"/>
      <c r="K175" s="37"/>
      <c r="L175" s="37"/>
      <c r="M175" s="37"/>
      <c r="N175" s="37">
        <f t="shared" si="135"/>
        <v>10</v>
      </c>
      <c r="O175" s="38"/>
      <c r="P175" s="37"/>
      <c r="Q175" s="37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 t="e">
        <f t="shared" ref="A176:G176" si="162">+#REF!</f>
        <v>#REF!</v>
      </c>
      <c r="B176" s="37" t="e">
        <f t="shared" si="162"/>
        <v>#REF!</v>
      </c>
      <c r="C176" s="37" t="e">
        <f t="shared" si="162"/>
        <v>#REF!</v>
      </c>
      <c r="D176" s="38" t="e">
        <f t="shared" si="162"/>
        <v>#REF!</v>
      </c>
      <c r="E176" s="37" t="e">
        <f t="shared" si="162"/>
        <v>#REF!</v>
      </c>
      <c r="F176" s="39" t="e">
        <f t="shared" si="162"/>
        <v>#REF!</v>
      </c>
      <c r="G176" s="39" t="e">
        <f t="shared" si="162"/>
        <v>#REF!</v>
      </c>
      <c r="H176" s="37">
        <v>10</v>
      </c>
      <c r="I176" s="37"/>
      <c r="J176" s="37"/>
      <c r="K176" s="37"/>
      <c r="L176" s="37"/>
      <c r="M176" s="37"/>
      <c r="N176" s="37">
        <f t="shared" si="135"/>
        <v>10</v>
      </c>
      <c r="O176" s="38"/>
      <c r="P176" s="37"/>
      <c r="Q176" s="37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 t="e">
        <f t="shared" ref="A177:G177" si="163">+#REF!</f>
        <v>#REF!</v>
      </c>
      <c r="B177" s="37" t="e">
        <f t="shared" si="163"/>
        <v>#REF!</v>
      </c>
      <c r="C177" s="37" t="e">
        <f t="shared" si="163"/>
        <v>#REF!</v>
      </c>
      <c r="D177" s="38" t="e">
        <f t="shared" si="163"/>
        <v>#REF!</v>
      </c>
      <c r="E177" s="37" t="e">
        <f t="shared" si="163"/>
        <v>#REF!</v>
      </c>
      <c r="F177" s="39" t="e">
        <f t="shared" si="163"/>
        <v>#REF!</v>
      </c>
      <c r="G177" s="39" t="e">
        <f t="shared" si="163"/>
        <v>#REF!</v>
      </c>
      <c r="H177" s="37">
        <v>10</v>
      </c>
      <c r="I177" s="37"/>
      <c r="J177" s="37"/>
      <c r="K177" s="37"/>
      <c r="L177" s="37"/>
      <c r="M177" s="37"/>
      <c r="N177" s="37">
        <f t="shared" si="135"/>
        <v>10</v>
      </c>
      <c r="O177" s="38"/>
      <c r="P177" s="37"/>
      <c r="Q177" s="37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 t="e">
        <f t="shared" ref="A178:G178" si="164">+#REF!</f>
        <v>#REF!</v>
      </c>
      <c r="B178" s="37" t="e">
        <f t="shared" si="164"/>
        <v>#REF!</v>
      </c>
      <c r="C178" s="37" t="e">
        <f t="shared" si="164"/>
        <v>#REF!</v>
      </c>
      <c r="D178" s="38" t="e">
        <f t="shared" si="164"/>
        <v>#REF!</v>
      </c>
      <c r="E178" s="37" t="e">
        <f t="shared" si="164"/>
        <v>#REF!</v>
      </c>
      <c r="F178" s="39" t="e">
        <f t="shared" si="164"/>
        <v>#REF!</v>
      </c>
      <c r="G178" s="39" t="e">
        <f t="shared" si="164"/>
        <v>#REF!</v>
      </c>
      <c r="H178" s="37">
        <v>10</v>
      </c>
      <c r="I178" s="37"/>
      <c r="J178" s="37"/>
      <c r="K178" s="37"/>
      <c r="L178" s="37"/>
      <c r="M178" s="37"/>
      <c r="N178" s="37">
        <f t="shared" si="135"/>
        <v>10</v>
      </c>
      <c r="O178" s="38"/>
      <c r="P178" s="37"/>
      <c r="Q178" s="37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 t="e">
        <f t="shared" ref="A179:G179" si="165">+#REF!</f>
        <v>#REF!</v>
      </c>
      <c r="B179" s="37" t="e">
        <f t="shared" si="165"/>
        <v>#REF!</v>
      </c>
      <c r="C179" s="37" t="e">
        <f t="shared" si="165"/>
        <v>#REF!</v>
      </c>
      <c r="D179" s="38" t="e">
        <f t="shared" si="165"/>
        <v>#REF!</v>
      </c>
      <c r="E179" s="37" t="e">
        <f t="shared" si="165"/>
        <v>#REF!</v>
      </c>
      <c r="F179" s="39" t="e">
        <f t="shared" si="165"/>
        <v>#REF!</v>
      </c>
      <c r="G179" s="39" t="e">
        <f t="shared" si="165"/>
        <v>#REF!</v>
      </c>
      <c r="H179" s="37">
        <v>10</v>
      </c>
      <c r="I179" s="37"/>
      <c r="J179" s="37"/>
      <c r="K179" s="37"/>
      <c r="L179" s="37"/>
      <c r="M179" s="37"/>
      <c r="N179" s="37">
        <f t="shared" si="135"/>
        <v>10</v>
      </c>
      <c r="O179" s="38"/>
      <c r="P179" s="34"/>
      <c r="Q179" s="34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2" t="e">
        <f t="shared" ref="A180:E180" si="166">+#REF!</f>
        <v>#REF!</v>
      </c>
      <c r="B180" s="37" t="e">
        <f t="shared" si="166"/>
        <v>#REF!</v>
      </c>
      <c r="C180" s="37" t="e">
        <f t="shared" si="166"/>
        <v>#REF!</v>
      </c>
      <c r="D180" s="38" t="e">
        <f t="shared" si="166"/>
        <v>#REF!</v>
      </c>
      <c r="E180" s="37" t="e">
        <f t="shared" si="166"/>
        <v>#REF!</v>
      </c>
      <c r="F180" s="39"/>
      <c r="G180" s="39"/>
      <c r="H180" s="37">
        <v>10</v>
      </c>
      <c r="I180" s="37"/>
      <c r="J180" s="37"/>
      <c r="K180" s="37"/>
      <c r="L180" s="37"/>
      <c r="M180" s="37"/>
      <c r="N180" s="37">
        <f t="shared" si="135"/>
        <v>10</v>
      </c>
      <c r="O180" s="38"/>
      <c r="P180" s="37"/>
      <c r="Q180" s="37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37"/>
      <c r="C181" s="38"/>
      <c r="D181" s="38"/>
      <c r="E181" s="37"/>
      <c r="F181" s="39"/>
      <c r="G181" s="39"/>
      <c r="H181" s="37"/>
      <c r="I181" s="37"/>
      <c r="J181" s="37"/>
      <c r="K181" s="37"/>
      <c r="L181" s="37"/>
      <c r="M181" s="37"/>
      <c r="N181" s="37"/>
      <c r="O181" s="38"/>
      <c r="P181" s="37"/>
      <c r="Q181" s="37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34" t="e">
        <f>+#REF!</f>
        <v>#REF!</v>
      </c>
      <c r="C182" s="38"/>
      <c r="D182" s="38"/>
      <c r="E182" s="37"/>
      <c r="F182" s="39"/>
      <c r="G182" s="39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37"/>
      <c r="C183" s="38"/>
      <c r="D183" s="38"/>
      <c r="E183" s="37"/>
      <c r="F183" s="39"/>
      <c r="G183" s="39"/>
      <c r="H183" s="37"/>
      <c r="I183" s="37"/>
      <c r="J183" s="37"/>
      <c r="K183" s="37"/>
      <c r="L183" s="37"/>
      <c r="M183" s="37"/>
      <c r="N183" s="37"/>
      <c r="O183" s="35"/>
      <c r="P183" s="37"/>
      <c r="Q183" s="37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3" t="s">
        <v>11</v>
      </c>
      <c r="B184" s="34" t="s">
        <v>11</v>
      </c>
      <c r="C184" s="35" t="s">
        <v>12</v>
      </c>
      <c r="D184" s="35" t="s">
        <v>13</v>
      </c>
      <c r="E184" s="34" t="s">
        <v>14</v>
      </c>
      <c r="F184" s="34" t="s">
        <v>15</v>
      </c>
      <c r="G184" s="36" t="s">
        <v>16</v>
      </c>
      <c r="H184" s="34"/>
      <c r="I184" s="34" t="s">
        <v>678</v>
      </c>
      <c r="J184" s="37"/>
      <c r="K184" s="34" t="s">
        <v>21</v>
      </c>
      <c r="L184" s="34" t="s">
        <v>679</v>
      </c>
      <c r="M184" s="34"/>
      <c r="N184" s="35" t="s">
        <v>22</v>
      </c>
      <c r="O184" s="35" t="s">
        <v>681</v>
      </c>
      <c r="P184" s="37"/>
      <c r="Q184" s="37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 t="e">
        <f t="shared" ref="A185:G185" si="167">+#REF!</f>
        <v>#REF!</v>
      </c>
      <c r="B185" s="37" t="e">
        <f t="shared" si="167"/>
        <v>#REF!</v>
      </c>
      <c r="C185" s="38" t="e">
        <f t="shared" si="167"/>
        <v>#REF!</v>
      </c>
      <c r="D185" s="38" t="e">
        <f t="shared" si="167"/>
        <v>#REF!</v>
      </c>
      <c r="E185" s="37" t="e">
        <f t="shared" si="167"/>
        <v>#REF!</v>
      </c>
      <c r="F185" s="39" t="e">
        <f t="shared" si="167"/>
        <v>#REF!</v>
      </c>
      <c r="G185" s="39" t="e">
        <f t="shared" si="167"/>
        <v>#REF!</v>
      </c>
      <c r="H185" s="37">
        <v>60</v>
      </c>
      <c r="I185" s="37"/>
      <c r="J185" s="37"/>
      <c r="K185" s="37">
        <v>5</v>
      </c>
      <c r="L185" s="37">
        <v>3</v>
      </c>
      <c r="M185" s="37"/>
      <c r="N185" s="38">
        <f t="shared" ref="N185:N196" si="168">SUM(H185:L185)</f>
        <v>68</v>
      </c>
      <c r="O185" s="38" t="e">
        <f t="shared" ref="O185:O196" si="169">+#REF!</f>
        <v>#REF!</v>
      </c>
      <c r="P185" s="37"/>
      <c r="Q185" s="37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 t="e">
        <f t="shared" ref="A186:G186" si="170">+#REF!</f>
        <v>#REF!</v>
      </c>
      <c r="B186" s="37" t="e">
        <f t="shared" si="170"/>
        <v>#REF!</v>
      </c>
      <c r="C186" s="38" t="e">
        <f t="shared" si="170"/>
        <v>#REF!</v>
      </c>
      <c r="D186" s="38" t="e">
        <f t="shared" si="170"/>
        <v>#REF!</v>
      </c>
      <c r="E186" s="37" t="e">
        <f t="shared" si="170"/>
        <v>#REF!</v>
      </c>
      <c r="F186" s="39" t="e">
        <f t="shared" si="170"/>
        <v>#REF!</v>
      </c>
      <c r="G186" s="39" t="e">
        <f t="shared" si="170"/>
        <v>#REF!</v>
      </c>
      <c r="H186" s="37">
        <v>60</v>
      </c>
      <c r="I186" s="37"/>
      <c r="J186" s="37"/>
      <c r="K186" s="37">
        <v>5</v>
      </c>
      <c r="L186" s="37">
        <v>3</v>
      </c>
      <c r="M186" s="37"/>
      <c r="N186" s="38">
        <f t="shared" si="168"/>
        <v>68</v>
      </c>
      <c r="O186" s="38" t="e">
        <f t="shared" si="169"/>
        <v>#REF!</v>
      </c>
      <c r="P186" s="37"/>
      <c r="Q186" s="37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 t="e">
        <f t="shared" ref="A187:G187" si="171">+#REF!</f>
        <v>#REF!</v>
      </c>
      <c r="B187" s="37" t="e">
        <f t="shared" si="171"/>
        <v>#REF!</v>
      </c>
      <c r="C187" s="38" t="e">
        <f t="shared" si="171"/>
        <v>#REF!</v>
      </c>
      <c r="D187" s="38" t="e">
        <f t="shared" si="171"/>
        <v>#REF!</v>
      </c>
      <c r="E187" s="37" t="e">
        <f t="shared" si="171"/>
        <v>#REF!</v>
      </c>
      <c r="F187" s="39" t="e">
        <f t="shared" si="171"/>
        <v>#REF!</v>
      </c>
      <c r="G187" s="39" t="e">
        <f t="shared" si="171"/>
        <v>#REF!</v>
      </c>
      <c r="H187" s="37">
        <v>60</v>
      </c>
      <c r="I187" s="37"/>
      <c r="J187" s="37"/>
      <c r="K187" s="37">
        <v>5</v>
      </c>
      <c r="L187" s="37">
        <v>3</v>
      </c>
      <c r="M187" s="37"/>
      <c r="N187" s="38">
        <f t="shared" si="168"/>
        <v>68</v>
      </c>
      <c r="O187" s="38" t="e">
        <f t="shared" si="169"/>
        <v>#REF!</v>
      </c>
      <c r="P187" s="37"/>
      <c r="Q187" s="37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 t="e">
        <f t="shared" ref="A188:G188" si="172">+#REF!</f>
        <v>#REF!</v>
      </c>
      <c r="B188" s="37" t="e">
        <f t="shared" si="172"/>
        <v>#REF!</v>
      </c>
      <c r="C188" s="38" t="e">
        <f t="shared" si="172"/>
        <v>#REF!</v>
      </c>
      <c r="D188" s="38" t="e">
        <f t="shared" si="172"/>
        <v>#REF!</v>
      </c>
      <c r="E188" s="37" t="e">
        <f t="shared" si="172"/>
        <v>#REF!</v>
      </c>
      <c r="F188" s="39" t="e">
        <f t="shared" si="172"/>
        <v>#REF!</v>
      </c>
      <c r="G188" s="39" t="e">
        <f t="shared" si="172"/>
        <v>#REF!</v>
      </c>
      <c r="H188" s="37">
        <v>60</v>
      </c>
      <c r="I188" s="37"/>
      <c r="J188" s="37"/>
      <c r="K188" s="37">
        <v>5</v>
      </c>
      <c r="L188" s="37">
        <v>3</v>
      </c>
      <c r="M188" s="37"/>
      <c r="N188" s="38">
        <f t="shared" si="168"/>
        <v>68</v>
      </c>
      <c r="O188" s="38" t="e">
        <f t="shared" si="169"/>
        <v>#REF!</v>
      </c>
      <c r="P188" s="37"/>
      <c r="Q188" s="37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 t="e">
        <f t="shared" ref="A189:G189" si="173">+#REF!</f>
        <v>#REF!</v>
      </c>
      <c r="B189" s="37" t="e">
        <f t="shared" si="173"/>
        <v>#REF!</v>
      </c>
      <c r="C189" s="38" t="e">
        <f t="shared" si="173"/>
        <v>#REF!</v>
      </c>
      <c r="D189" s="38" t="e">
        <f t="shared" si="173"/>
        <v>#REF!</v>
      </c>
      <c r="E189" s="37" t="e">
        <f t="shared" si="173"/>
        <v>#REF!</v>
      </c>
      <c r="F189" s="39" t="e">
        <f t="shared" si="173"/>
        <v>#REF!</v>
      </c>
      <c r="G189" s="39" t="e">
        <f t="shared" si="173"/>
        <v>#REF!</v>
      </c>
      <c r="H189" s="37">
        <v>60</v>
      </c>
      <c r="I189" s="37"/>
      <c r="J189" s="37"/>
      <c r="K189" s="37">
        <v>5</v>
      </c>
      <c r="L189" s="37">
        <v>3</v>
      </c>
      <c r="M189" s="37"/>
      <c r="N189" s="38">
        <f t="shared" si="168"/>
        <v>68</v>
      </c>
      <c r="O189" s="38" t="e">
        <f t="shared" si="169"/>
        <v>#REF!</v>
      </c>
      <c r="P189" s="37"/>
      <c r="Q189" s="37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 t="e">
        <f t="shared" ref="A190:G190" si="174">+#REF!</f>
        <v>#REF!</v>
      </c>
      <c r="B190" s="37" t="e">
        <f t="shared" si="174"/>
        <v>#REF!</v>
      </c>
      <c r="C190" s="38" t="e">
        <f t="shared" si="174"/>
        <v>#REF!</v>
      </c>
      <c r="D190" s="38" t="e">
        <f t="shared" si="174"/>
        <v>#REF!</v>
      </c>
      <c r="E190" s="37" t="e">
        <f t="shared" si="174"/>
        <v>#REF!</v>
      </c>
      <c r="F190" s="39" t="e">
        <f t="shared" si="174"/>
        <v>#REF!</v>
      </c>
      <c r="G190" s="39" t="e">
        <f t="shared" si="174"/>
        <v>#REF!</v>
      </c>
      <c r="H190" s="37">
        <v>60</v>
      </c>
      <c r="I190" s="37"/>
      <c r="J190" s="37"/>
      <c r="K190" s="37">
        <v>5</v>
      </c>
      <c r="L190" s="37">
        <v>3</v>
      </c>
      <c r="M190" s="37"/>
      <c r="N190" s="38">
        <f t="shared" si="168"/>
        <v>68</v>
      </c>
      <c r="O190" s="38" t="e">
        <f t="shared" si="169"/>
        <v>#REF!</v>
      </c>
      <c r="P190" s="37"/>
      <c r="Q190" s="37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 t="e">
        <f t="shared" ref="A191:G191" si="175">+#REF!</f>
        <v>#REF!</v>
      </c>
      <c r="B191" s="37" t="e">
        <f t="shared" si="175"/>
        <v>#REF!</v>
      </c>
      <c r="C191" s="38" t="e">
        <f t="shared" si="175"/>
        <v>#REF!</v>
      </c>
      <c r="D191" s="38" t="e">
        <f t="shared" si="175"/>
        <v>#REF!</v>
      </c>
      <c r="E191" s="37" t="e">
        <f t="shared" si="175"/>
        <v>#REF!</v>
      </c>
      <c r="F191" s="39" t="e">
        <f t="shared" si="175"/>
        <v>#REF!</v>
      </c>
      <c r="G191" s="39" t="e">
        <f t="shared" si="175"/>
        <v>#REF!</v>
      </c>
      <c r="H191" s="37">
        <v>50</v>
      </c>
      <c r="I191" s="37"/>
      <c r="J191" s="37"/>
      <c r="K191" s="37">
        <v>5</v>
      </c>
      <c r="L191" s="37">
        <v>5</v>
      </c>
      <c r="M191" s="37"/>
      <c r="N191" s="38">
        <f t="shared" si="168"/>
        <v>60</v>
      </c>
      <c r="O191" s="38" t="e">
        <f t="shared" si="169"/>
        <v>#REF!</v>
      </c>
      <c r="P191" s="37"/>
      <c r="Q191" s="37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 t="e">
        <f t="shared" ref="A192:G192" si="176">+#REF!</f>
        <v>#REF!</v>
      </c>
      <c r="B192" s="37" t="e">
        <f t="shared" si="176"/>
        <v>#REF!</v>
      </c>
      <c r="C192" s="38" t="e">
        <f t="shared" si="176"/>
        <v>#REF!</v>
      </c>
      <c r="D192" s="38" t="e">
        <f t="shared" si="176"/>
        <v>#REF!</v>
      </c>
      <c r="E192" s="37" t="e">
        <f t="shared" si="176"/>
        <v>#REF!</v>
      </c>
      <c r="F192" s="39" t="e">
        <f t="shared" si="176"/>
        <v>#REF!</v>
      </c>
      <c r="G192" s="39" t="e">
        <f t="shared" si="176"/>
        <v>#REF!</v>
      </c>
      <c r="H192" s="37">
        <v>70</v>
      </c>
      <c r="I192" s="37"/>
      <c r="J192" s="37"/>
      <c r="K192" s="37"/>
      <c r="L192" s="37"/>
      <c r="M192" s="37"/>
      <c r="N192" s="38">
        <f t="shared" si="168"/>
        <v>70</v>
      </c>
      <c r="O192" s="38" t="e">
        <f t="shared" si="169"/>
        <v>#REF!</v>
      </c>
      <c r="P192" s="37"/>
      <c r="Q192" s="37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 t="e">
        <f t="shared" ref="A193:G193" si="177">+#REF!</f>
        <v>#REF!</v>
      </c>
      <c r="B193" s="37" t="e">
        <f t="shared" si="177"/>
        <v>#REF!</v>
      </c>
      <c r="C193" s="38" t="e">
        <f t="shared" si="177"/>
        <v>#REF!</v>
      </c>
      <c r="D193" s="38" t="e">
        <f t="shared" si="177"/>
        <v>#REF!</v>
      </c>
      <c r="E193" s="37" t="e">
        <f t="shared" si="177"/>
        <v>#REF!</v>
      </c>
      <c r="F193" s="39" t="e">
        <f t="shared" si="177"/>
        <v>#REF!</v>
      </c>
      <c r="G193" s="39" t="e">
        <f t="shared" si="177"/>
        <v>#REF!</v>
      </c>
      <c r="H193" s="37">
        <v>45</v>
      </c>
      <c r="I193" s="37"/>
      <c r="J193" s="37"/>
      <c r="K193" s="37">
        <v>5</v>
      </c>
      <c r="L193" s="37">
        <v>5</v>
      </c>
      <c r="M193" s="37"/>
      <c r="N193" s="38">
        <f t="shared" si="168"/>
        <v>55</v>
      </c>
      <c r="O193" s="38" t="e">
        <f t="shared" si="169"/>
        <v>#REF!</v>
      </c>
      <c r="P193" s="37"/>
      <c r="Q193" s="37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 t="e">
        <f t="shared" ref="A194:G194" si="178">+#REF!</f>
        <v>#REF!</v>
      </c>
      <c r="B194" s="37" t="e">
        <f t="shared" si="178"/>
        <v>#REF!</v>
      </c>
      <c r="C194" s="38" t="e">
        <f t="shared" si="178"/>
        <v>#REF!</v>
      </c>
      <c r="D194" s="38" t="e">
        <f t="shared" si="178"/>
        <v>#REF!</v>
      </c>
      <c r="E194" s="37" t="e">
        <f t="shared" si="178"/>
        <v>#REF!</v>
      </c>
      <c r="F194" s="39" t="e">
        <f t="shared" si="178"/>
        <v>#REF!</v>
      </c>
      <c r="G194" s="39" t="e">
        <f t="shared" si="178"/>
        <v>#REF!</v>
      </c>
      <c r="H194" s="37">
        <v>75</v>
      </c>
      <c r="I194" s="37">
        <v>5</v>
      </c>
      <c r="J194" s="37"/>
      <c r="K194" s="37"/>
      <c r="L194" s="37"/>
      <c r="M194" s="37"/>
      <c r="N194" s="38">
        <f t="shared" si="168"/>
        <v>80</v>
      </c>
      <c r="O194" s="38" t="e">
        <f t="shared" si="169"/>
        <v>#REF!</v>
      </c>
      <c r="P194" s="37"/>
      <c r="Q194" s="37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 t="e">
        <f t="shared" ref="A195:G195" si="179">+#REF!</f>
        <v>#REF!</v>
      </c>
      <c r="B195" s="37" t="e">
        <f t="shared" si="179"/>
        <v>#REF!</v>
      </c>
      <c r="C195" s="38" t="e">
        <f t="shared" si="179"/>
        <v>#REF!</v>
      </c>
      <c r="D195" s="38" t="e">
        <f t="shared" si="179"/>
        <v>#REF!</v>
      </c>
      <c r="E195" s="37" t="e">
        <f t="shared" si="179"/>
        <v>#REF!</v>
      </c>
      <c r="F195" s="39" t="e">
        <f t="shared" si="179"/>
        <v>#REF!</v>
      </c>
      <c r="G195" s="39" t="e">
        <f t="shared" si="179"/>
        <v>#REF!</v>
      </c>
      <c r="H195" s="37">
        <v>55</v>
      </c>
      <c r="I195" s="37">
        <v>10</v>
      </c>
      <c r="J195" s="37"/>
      <c r="K195" s="37">
        <v>5</v>
      </c>
      <c r="L195" s="37">
        <v>5</v>
      </c>
      <c r="M195" s="37"/>
      <c r="N195" s="38">
        <f t="shared" si="168"/>
        <v>75</v>
      </c>
      <c r="O195" s="38" t="e">
        <f t="shared" si="169"/>
        <v>#REF!</v>
      </c>
      <c r="P195" s="37"/>
      <c r="Q195" s="37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 t="e">
        <f t="shared" ref="A196:G196" si="180">+#REF!</f>
        <v>#REF!</v>
      </c>
      <c r="B196" s="37" t="e">
        <f t="shared" si="180"/>
        <v>#REF!</v>
      </c>
      <c r="C196" s="38" t="e">
        <f t="shared" si="180"/>
        <v>#REF!</v>
      </c>
      <c r="D196" s="38" t="e">
        <f t="shared" si="180"/>
        <v>#REF!</v>
      </c>
      <c r="E196" s="37" t="e">
        <f t="shared" si="180"/>
        <v>#REF!</v>
      </c>
      <c r="F196" s="39" t="e">
        <f t="shared" si="180"/>
        <v>#REF!</v>
      </c>
      <c r="G196" s="39" t="e">
        <f t="shared" si="180"/>
        <v>#REF!</v>
      </c>
      <c r="H196" s="37">
        <v>50</v>
      </c>
      <c r="I196" s="37"/>
      <c r="J196" s="37"/>
      <c r="K196" s="37">
        <v>5</v>
      </c>
      <c r="L196" s="37">
        <v>5</v>
      </c>
      <c r="M196" s="37"/>
      <c r="N196" s="38">
        <f t="shared" si="168"/>
        <v>60</v>
      </c>
      <c r="O196" s="38" t="e">
        <f t="shared" si="169"/>
        <v>#REF!</v>
      </c>
      <c r="P196" s="37"/>
      <c r="Q196" s="37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37"/>
      <c r="C197" s="38"/>
      <c r="D197" s="38"/>
      <c r="E197" s="37"/>
      <c r="F197" s="39"/>
      <c r="G197" s="39"/>
      <c r="H197" s="37"/>
      <c r="I197" s="37"/>
      <c r="J197" s="37"/>
      <c r="K197" s="37"/>
      <c r="L197" s="37"/>
      <c r="M197" s="37"/>
      <c r="N197" s="37"/>
      <c r="O197" s="38"/>
      <c r="P197" s="37"/>
      <c r="Q197" s="37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 t="e">
        <f>+#REF!</f>
        <v>#REF!</v>
      </c>
      <c r="B198" s="37"/>
      <c r="C198" s="38"/>
      <c r="D198" s="38"/>
      <c r="E198" s="37"/>
      <c r="F198" s="39"/>
      <c r="G198" s="39"/>
      <c r="H198" s="37"/>
      <c r="I198" s="37"/>
      <c r="J198" s="37"/>
      <c r="K198" s="37"/>
      <c r="L198" s="37"/>
      <c r="M198" s="37"/>
      <c r="N198" s="37"/>
      <c r="O198" s="38"/>
      <c r="P198" s="37"/>
      <c r="Q198" s="37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37"/>
      <c r="C199" s="38"/>
      <c r="D199" s="38"/>
      <c r="E199" s="37"/>
      <c r="F199" s="39"/>
      <c r="G199" s="39"/>
      <c r="H199" s="37"/>
      <c r="I199" s="37"/>
      <c r="J199" s="37"/>
      <c r="K199" s="37"/>
      <c r="L199" s="37"/>
      <c r="M199" s="37"/>
      <c r="N199" s="37"/>
      <c r="O199" s="38"/>
      <c r="P199" s="37"/>
      <c r="Q199" s="37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37"/>
      <c r="C200" s="38"/>
      <c r="D200" s="38"/>
      <c r="E200" s="37"/>
      <c r="F200" s="39"/>
      <c r="G200" s="39"/>
      <c r="H200" s="37"/>
      <c r="I200" s="37"/>
      <c r="J200" s="37"/>
      <c r="K200" s="37"/>
      <c r="L200" s="37"/>
      <c r="M200" s="37"/>
      <c r="N200" s="37"/>
      <c r="O200" s="38"/>
      <c r="P200" s="37"/>
      <c r="Q200" s="37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37"/>
      <c r="C201" s="38"/>
      <c r="D201" s="38"/>
      <c r="E201" s="37"/>
      <c r="F201" s="35" t="e">
        <f t="shared" ref="F201:F202" si="181">+#REF!</f>
        <v>#REF!</v>
      </c>
      <c r="G201" s="39"/>
      <c r="H201" s="37"/>
      <c r="I201" s="37"/>
      <c r="J201" s="37"/>
      <c r="K201" s="37"/>
      <c r="L201" s="37"/>
      <c r="M201" s="37"/>
      <c r="N201" s="37"/>
      <c r="O201" s="38"/>
      <c r="P201" s="37"/>
      <c r="Q201" s="37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37"/>
      <c r="C202" s="38"/>
      <c r="D202" s="38"/>
      <c r="E202" s="37"/>
      <c r="F202" s="35" t="e">
        <f t="shared" si="181"/>
        <v>#REF!</v>
      </c>
      <c r="G202" s="39"/>
      <c r="H202" s="37"/>
      <c r="I202" s="37"/>
      <c r="J202" s="37"/>
      <c r="K202" s="37"/>
      <c r="L202" s="37"/>
      <c r="M202" s="37"/>
      <c r="N202" s="37"/>
      <c r="O202" s="38"/>
      <c r="P202" s="37"/>
      <c r="Q202" s="37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37"/>
      <c r="C203" s="38"/>
      <c r="D203" s="38"/>
      <c r="E203" s="37"/>
      <c r="F203" s="39"/>
      <c r="G203" s="39"/>
      <c r="H203" s="37"/>
      <c r="I203" s="37"/>
      <c r="J203" s="37"/>
      <c r="K203" s="37"/>
      <c r="L203" s="37"/>
      <c r="M203" s="37"/>
      <c r="N203" s="37"/>
      <c r="O203" s="38"/>
      <c r="P203" s="37"/>
      <c r="Q203" s="37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37"/>
      <c r="C204" s="38"/>
      <c r="D204" s="38"/>
      <c r="E204" s="37"/>
      <c r="F204" s="39"/>
      <c r="G204" s="39"/>
      <c r="H204" s="37"/>
      <c r="I204" s="37"/>
      <c r="J204" s="37"/>
      <c r="K204" s="37"/>
      <c r="L204" s="37"/>
      <c r="M204" s="37"/>
      <c r="N204" s="37"/>
      <c r="O204" s="38"/>
      <c r="P204" s="37"/>
      <c r="Q204" s="37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34" t="e">
        <f>+#REF!</f>
        <v>#REF!</v>
      </c>
      <c r="C205" s="38"/>
      <c r="D205" s="38"/>
      <c r="E205" s="37"/>
      <c r="F205" s="39"/>
      <c r="G205" s="39"/>
      <c r="H205" s="37"/>
      <c r="I205" s="37"/>
      <c r="J205" s="37"/>
      <c r="K205" s="37"/>
      <c r="L205" s="37"/>
      <c r="M205" s="37"/>
      <c r="N205" s="37"/>
      <c r="O205" s="38"/>
      <c r="P205" s="37"/>
      <c r="Q205" s="37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37"/>
      <c r="C206" s="38"/>
      <c r="D206" s="38"/>
      <c r="E206" s="37"/>
      <c r="F206" s="39"/>
      <c r="G206" s="39"/>
      <c r="H206" s="37"/>
      <c r="I206" s="37"/>
      <c r="J206" s="37"/>
      <c r="K206" s="37"/>
      <c r="L206" s="37"/>
      <c r="M206" s="37"/>
      <c r="N206" s="37"/>
      <c r="O206" s="38"/>
      <c r="P206" s="37"/>
      <c r="Q206" s="37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3" t="s">
        <v>11</v>
      </c>
      <c r="B207" s="34" t="s">
        <v>11</v>
      </c>
      <c r="C207" s="35" t="s">
        <v>12</v>
      </c>
      <c r="D207" s="35" t="s">
        <v>13</v>
      </c>
      <c r="E207" s="34" t="s">
        <v>14</v>
      </c>
      <c r="F207" s="34" t="s">
        <v>15</v>
      </c>
      <c r="G207" s="36" t="s">
        <v>16</v>
      </c>
      <c r="H207" s="34" t="s">
        <v>19</v>
      </c>
      <c r="I207" s="34" t="s">
        <v>20</v>
      </c>
      <c r="J207" s="34" t="s">
        <v>678</v>
      </c>
      <c r="K207" s="34" t="s">
        <v>21</v>
      </c>
      <c r="L207" s="34" t="s">
        <v>679</v>
      </c>
      <c r="M207" s="34"/>
      <c r="N207" s="34" t="s">
        <v>22</v>
      </c>
      <c r="O207" s="35" t="s">
        <v>681</v>
      </c>
      <c r="P207" s="37"/>
      <c r="Q207" s="37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 t="e">
        <f t="shared" ref="A208:G208" si="182">+#REF!</f>
        <v>#REF!</v>
      </c>
      <c r="B208" s="37" t="e">
        <f t="shared" si="182"/>
        <v>#REF!</v>
      </c>
      <c r="C208" s="38" t="e">
        <f t="shared" si="182"/>
        <v>#REF!</v>
      </c>
      <c r="D208" s="38" t="e">
        <f t="shared" si="182"/>
        <v>#REF!</v>
      </c>
      <c r="E208" s="37" t="e">
        <f t="shared" si="182"/>
        <v>#REF!</v>
      </c>
      <c r="F208" s="39" t="e">
        <f t="shared" si="182"/>
        <v>#REF!</v>
      </c>
      <c r="G208" s="39" t="e">
        <f t="shared" si="182"/>
        <v>#REF!</v>
      </c>
      <c r="H208" s="37">
        <v>40</v>
      </c>
      <c r="I208" s="37"/>
      <c r="J208" s="37"/>
      <c r="K208" s="37">
        <v>10</v>
      </c>
      <c r="L208" s="37">
        <v>10</v>
      </c>
      <c r="M208" s="37"/>
      <c r="N208" s="37">
        <f t="shared" ref="N208:N209" si="183">SUM(H208:L208)</f>
        <v>60</v>
      </c>
      <c r="O208" s="38" t="e">
        <f t="shared" ref="O208:O209" si="184">+#REF!</f>
        <v>#REF!</v>
      </c>
      <c r="P208" s="37">
        <v>56</v>
      </c>
      <c r="Q208" s="37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 t="e">
        <f t="shared" ref="A209:G209" si="185">+#REF!</f>
        <v>#REF!</v>
      </c>
      <c r="B209" s="37" t="e">
        <f t="shared" si="185"/>
        <v>#REF!</v>
      </c>
      <c r="C209" s="38" t="e">
        <f t="shared" si="185"/>
        <v>#REF!</v>
      </c>
      <c r="D209" s="38" t="e">
        <f t="shared" si="185"/>
        <v>#REF!</v>
      </c>
      <c r="E209" s="37" t="e">
        <f t="shared" si="185"/>
        <v>#REF!</v>
      </c>
      <c r="F209" s="39" t="e">
        <f t="shared" si="185"/>
        <v>#REF!</v>
      </c>
      <c r="G209" s="39" t="e">
        <f t="shared" si="185"/>
        <v>#REF!</v>
      </c>
      <c r="H209" s="37">
        <v>40</v>
      </c>
      <c r="I209" s="37"/>
      <c r="J209" s="37"/>
      <c r="K209" s="37">
        <v>10</v>
      </c>
      <c r="L209" s="37">
        <v>10</v>
      </c>
      <c r="M209" s="37"/>
      <c r="N209" s="37">
        <f t="shared" si="183"/>
        <v>60</v>
      </c>
      <c r="O209" s="38" t="e">
        <f t="shared" si="184"/>
        <v>#REF!</v>
      </c>
      <c r="P209" s="37">
        <v>56</v>
      </c>
      <c r="Q209" s="37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37"/>
      <c r="C210" s="38"/>
      <c r="D210" s="38"/>
      <c r="E210" s="37"/>
      <c r="F210" s="39"/>
      <c r="G210" s="39" t="e">
        <f>+#REF!</f>
        <v>#REF!</v>
      </c>
      <c r="H210" s="37"/>
      <c r="I210" s="37"/>
      <c r="J210" s="37"/>
      <c r="K210" s="37"/>
      <c r="L210" s="37"/>
      <c r="M210" s="37"/>
      <c r="N210" s="37"/>
      <c r="O210" s="38"/>
      <c r="P210" s="37"/>
      <c r="Q210" s="37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37"/>
      <c r="C211" s="38"/>
      <c r="D211" s="38"/>
      <c r="E211" s="37"/>
      <c r="F211" s="39"/>
      <c r="G211" s="39"/>
      <c r="H211" s="37"/>
      <c r="I211" s="37"/>
      <c r="J211" s="37"/>
      <c r="K211" s="37"/>
      <c r="L211" s="37"/>
      <c r="M211" s="37"/>
      <c r="N211" s="37"/>
      <c r="O211" s="38"/>
      <c r="P211" s="37"/>
      <c r="Q211" s="37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37"/>
      <c r="C212" s="38"/>
      <c r="D212" s="38"/>
      <c r="E212" s="37"/>
      <c r="F212" s="36" t="e">
        <f>+#REF!</f>
        <v>#REF!</v>
      </c>
      <c r="G212" s="39"/>
      <c r="H212" s="37"/>
      <c r="I212" s="37"/>
      <c r="J212" s="37"/>
      <c r="K212" s="37"/>
      <c r="L212" s="37"/>
      <c r="M212" s="37"/>
      <c r="N212" s="37"/>
      <c r="O212" s="38"/>
      <c r="P212" s="34"/>
      <c r="Q212" s="34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2"/>
      <c r="B213" s="37"/>
      <c r="C213" s="38"/>
      <c r="D213" s="38"/>
      <c r="E213" s="37"/>
      <c r="F213" s="39"/>
      <c r="G213" s="39"/>
      <c r="H213" s="37"/>
      <c r="I213" s="37"/>
      <c r="J213" s="37"/>
      <c r="K213" s="37"/>
      <c r="L213" s="37"/>
      <c r="M213" s="37"/>
      <c r="N213" s="37"/>
      <c r="O213" s="38"/>
      <c r="P213" s="34"/>
      <c r="Q213" s="34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2"/>
      <c r="B214" s="34" t="e">
        <f>+#REF!</f>
        <v>#REF!</v>
      </c>
      <c r="C214" s="38"/>
      <c r="D214" s="38"/>
      <c r="E214" s="37"/>
      <c r="F214" s="39"/>
      <c r="G214" s="39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3" t="s">
        <v>11</v>
      </c>
      <c r="B215" s="34" t="s">
        <v>11</v>
      </c>
      <c r="C215" s="35" t="s">
        <v>12</v>
      </c>
      <c r="D215" s="35" t="s">
        <v>13</v>
      </c>
      <c r="E215" s="34" t="s">
        <v>14</v>
      </c>
      <c r="F215" s="34" t="s">
        <v>15</v>
      </c>
      <c r="G215" s="36" t="s">
        <v>16</v>
      </c>
      <c r="H215" s="34" t="s">
        <v>19</v>
      </c>
      <c r="I215" s="34" t="s">
        <v>20</v>
      </c>
      <c r="J215" s="34" t="s">
        <v>678</v>
      </c>
      <c r="K215" s="34" t="s">
        <v>21</v>
      </c>
      <c r="L215" s="34" t="s">
        <v>679</v>
      </c>
      <c r="M215" s="34"/>
      <c r="N215" s="34" t="s">
        <v>22</v>
      </c>
      <c r="O215" s="35" t="s">
        <v>681</v>
      </c>
      <c r="P215" s="37"/>
      <c r="Q215" s="37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 t="e">
        <f t="shared" ref="A216:G216" si="186">+#REF!</f>
        <v>#REF!</v>
      </c>
      <c r="B216" s="37" t="e">
        <f t="shared" si="186"/>
        <v>#REF!</v>
      </c>
      <c r="C216" s="38" t="e">
        <f t="shared" si="186"/>
        <v>#REF!</v>
      </c>
      <c r="D216" s="38" t="e">
        <f t="shared" si="186"/>
        <v>#REF!</v>
      </c>
      <c r="E216" s="37" t="e">
        <f t="shared" si="186"/>
        <v>#REF!</v>
      </c>
      <c r="F216" s="39" t="e">
        <f t="shared" si="186"/>
        <v>#REF!</v>
      </c>
      <c r="G216" s="39" t="e">
        <f t="shared" si="186"/>
        <v>#REF!</v>
      </c>
      <c r="H216" s="37">
        <v>60</v>
      </c>
      <c r="I216" s="37"/>
      <c r="J216" s="37">
        <v>3</v>
      </c>
      <c r="K216" s="37"/>
      <c r="L216" s="37"/>
      <c r="M216" s="37"/>
      <c r="N216" s="37">
        <f t="shared" ref="N216:N222" si="187">SUM(H216:L216)</f>
        <v>63</v>
      </c>
      <c r="O216" s="38" t="e">
        <f t="shared" ref="O216:O222" si="188">+#REF!</f>
        <v>#REF!</v>
      </c>
      <c r="P216" s="37">
        <v>80</v>
      </c>
      <c r="Q216" s="37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 t="e">
        <f t="shared" ref="A217:G217" si="189">+#REF!</f>
        <v>#REF!</v>
      </c>
      <c r="B217" s="37" t="e">
        <f t="shared" si="189"/>
        <v>#REF!</v>
      </c>
      <c r="C217" s="38" t="e">
        <f t="shared" si="189"/>
        <v>#REF!</v>
      </c>
      <c r="D217" s="38" t="e">
        <f t="shared" si="189"/>
        <v>#REF!</v>
      </c>
      <c r="E217" s="37" t="e">
        <f t="shared" si="189"/>
        <v>#REF!</v>
      </c>
      <c r="F217" s="39" t="e">
        <f t="shared" si="189"/>
        <v>#REF!</v>
      </c>
      <c r="G217" s="39" t="e">
        <f t="shared" si="189"/>
        <v>#REF!</v>
      </c>
      <c r="H217" s="37">
        <v>60</v>
      </c>
      <c r="I217" s="37"/>
      <c r="J217" s="37">
        <v>3</v>
      </c>
      <c r="K217" s="37"/>
      <c r="L217" s="37"/>
      <c r="M217" s="37"/>
      <c r="N217" s="37">
        <f t="shared" si="187"/>
        <v>63</v>
      </c>
      <c r="O217" s="38" t="e">
        <f t="shared" si="188"/>
        <v>#REF!</v>
      </c>
      <c r="P217" s="37">
        <v>80</v>
      </c>
      <c r="Q217" s="37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 t="e">
        <f t="shared" ref="A218:G218" si="190">+#REF!</f>
        <v>#REF!</v>
      </c>
      <c r="B218" s="37" t="e">
        <f t="shared" si="190"/>
        <v>#REF!</v>
      </c>
      <c r="C218" s="38" t="e">
        <f t="shared" si="190"/>
        <v>#REF!</v>
      </c>
      <c r="D218" s="38" t="e">
        <f t="shared" si="190"/>
        <v>#REF!</v>
      </c>
      <c r="E218" s="37" t="e">
        <f t="shared" si="190"/>
        <v>#REF!</v>
      </c>
      <c r="F218" s="39" t="e">
        <f t="shared" si="190"/>
        <v>#REF!</v>
      </c>
      <c r="G218" s="39" t="e">
        <f t="shared" si="190"/>
        <v>#REF!</v>
      </c>
      <c r="H218" s="37">
        <v>60</v>
      </c>
      <c r="I218" s="37"/>
      <c r="J218" s="37">
        <v>3</v>
      </c>
      <c r="K218" s="37"/>
      <c r="L218" s="37"/>
      <c r="M218" s="37"/>
      <c r="N218" s="37">
        <f t="shared" si="187"/>
        <v>63</v>
      </c>
      <c r="O218" s="38" t="e">
        <f t="shared" si="188"/>
        <v>#REF!</v>
      </c>
      <c r="P218" s="37">
        <v>80</v>
      </c>
      <c r="Q218" s="37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 t="e">
        <f t="shared" ref="A219:G219" si="191">+#REF!</f>
        <v>#REF!</v>
      </c>
      <c r="B219" s="37" t="e">
        <f t="shared" si="191"/>
        <v>#REF!</v>
      </c>
      <c r="C219" s="38" t="e">
        <f t="shared" si="191"/>
        <v>#REF!</v>
      </c>
      <c r="D219" s="38" t="e">
        <f t="shared" si="191"/>
        <v>#REF!</v>
      </c>
      <c r="E219" s="37" t="e">
        <f t="shared" si="191"/>
        <v>#REF!</v>
      </c>
      <c r="F219" s="39" t="e">
        <f t="shared" si="191"/>
        <v>#REF!</v>
      </c>
      <c r="G219" s="39" t="e">
        <f t="shared" si="191"/>
        <v>#REF!</v>
      </c>
      <c r="H219" s="37">
        <v>60</v>
      </c>
      <c r="I219" s="37"/>
      <c r="J219" s="37">
        <v>3</v>
      </c>
      <c r="K219" s="37"/>
      <c r="L219" s="37"/>
      <c r="M219" s="37"/>
      <c r="N219" s="37">
        <f t="shared" si="187"/>
        <v>63</v>
      </c>
      <c r="O219" s="38" t="e">
        <f t="shared" si="188"/>
        <v>#REF!</v>
      </c>
      <c r="P219" s="37">
        <v>80</v>
      </c>
      <c r="Q219" s="37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 t="e">
        <f t="shared" ref="A220:G220" si="192">+#REF!</f>
        <v>#REF!</v>
      </c>
      <c r="B220" s="37" t="e">
        <f t="shared" si="192"/>
        <v>#REF!</v>
      </c>
      <c r="C220" s="38" t="e">
        <f t="shared" si="192"/>
        <v>#REF!</v>
      </c>
      <c r="D220" s="38" t="e">
        <f t="shared" si="192"/>
        <v>#REF!</v>
      </c>
      <c r="E220" s="37" t="e">
        <f t="shared" si="192"/>
        <v>#REF!</v>
      </c>
      <c r="F220" s="39" t="e">
        <f t="shared" si="192"/>
        <v>#REF!</v>
      </c>
      <c r="G220" s="39" t="e">
        <f t="shared" si="192"/>
        <v>#REF!</v>
      </c>
      <c r="H220" s="37">
        <v>60</v>
      </c>
      <c r="I220" s="37"/>
      <c r="J220" s="37">
        <v>3</v>
      </c>
      <c r="K220" s="37"/>
      <c r="L220" s="37"/>
      <c r="M220" s="37"/>
      <c r="N220" s="37">
        <f t="shared" si="187"/>
        <v>63</v>
      </c>
      <c r="O220" s="38" t="e">
        <f t="shared" si="188"/>
        <v>#REF!</v>
      </c>
      <c r="P220" s="37">
        <v>100</v>
      </c>
      <c r="Q220" s="37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 t="e">
        <f t="shared" ref="A221:G221" si="193">+#REF!</f>
        <v>#REF!</v>
      </c>
      <c r="B221" s="37" t="e">
        <f t="shared" si="193"/>
        <v>#REF!</v>
      </c>
      <c r="C221" s="38" t="e">
        <f t="shared" si="193"/>
        <v>#REF!</v>
      </c>
      <c r="D221" s="38" t="e">
        <f t="shared" si="193"/>
        <v>#REF!</v>
      </c>
      <c r="E221" s="37" t="e">
        <f t="shared" si="193"/>
        <v>#REF!</v>
      </c>
      <c r="F221" s="39" t="e">
        <f t="shared" si="193"/>
        <v>#REF!</v>
      </c>
      <c r="G221" s="39" t="e">
        <f t="shared" si="193"/>
        <v>#REF!</v>
      </c>
      <c r="H221" s="37">
        <v>60</v>
      </c>
      <c r="I221" s="37"/>
      <c r="J221" s="37">
        <v>3</v>
      </c>
      <c r="K221" s="37"/>
      <c r="L221" s="37"/>
      <c r="M221" s="37"/>
      <c r="N221" s="37">
        <f t="shared" si="187"/>
        <v>63</v>
      </c>
      <c r="O221" s="38" t="e">
        <f t="shared" si="188"/>
        <v>#REF!</v>
      </c>
      <c r="P221" s="37">
        <v>80</v>
      </c>
      <c r="Q221" s="37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 t="e">
        <f t="shared" ref="A222:G222" si="194">+#REF!</f>
        <v>#REF!</v>
      </c>
      <c r="B222" s="37" t="e">
        <f t="shared" si="194"/>
        <v>#REF!</v>
      </c>
      <c r="C222" s="38" t="e">
        <f t="shared" si="194"/>
        <v>#REF!</v>
      </c>
      <c r="D222" s="38" t="e">
        <f t="shared" si="194"/>
        <v>#REF!</v>
      </c>
      <c r="E222" s="37" t="e">
        <f t="shared" si="194"/>
        <v>#REF!</v>
      </c>
      <c r="F222" s="39" t="e">
        <f t="shared" si="194"/>
        <v>#REF!</v>
      </c>
      <c r="G222" s="39" t="e">
        <f t="shared" si="194"/>
        <v>#REF!</v>
      </c>
      <c r="H222" s="37">
        <v>60</v>
      </c>
      <c r="I222" s="37"/>
      <c r="J222" s="37">
        <v>3</v>
      </c>
      <c r="K222" s="37"/>
      <c r="L222" s="37"/>
      <c r="M222" s="37"/>
      <c r="N222" s="37">
        <f t="shared" si="187"/>
        <v>63</v>
      </c>
      <c r="O222" s="38" t="e">
        <f t="shared" si="188"/>
        <v>#REF!</v>
      </c>
      <c r="P222" s="37">
        <v>80</v>
      </c>
      <c r="Q222" s="37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37"/>
      <c r="C223" s="38"/>
      <c r="D223" s="38"/>
      <c r="E223" s="37"/>
      <c r="F223" s="39"/>
      <c r="G223" s="39"/>
      <c r="H223" s="37"/>
      <c r="I223" s="37"/>
      <c r="J223" s="37"/>
      <c r="K223" s="37"/>
      <c r="L223" s="37"/>
      <c r="M223" s="37"/>
      <c r="N223" s="37"/>
      <c r="O223" s="38"/>
      <c r="P223" s="37"/>
      <c r="Q223" s="37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37"/>
      <c r="C224" s="38"/>
      <c r="D224" s="38"/>
      <c r="E224" s="37"/>
      <c r="F224" s="39"/>
      <c r="G224" s="39"/>
      <c r="H224" s="37"/>
      <c r="I224" s="37"/>
      <c r="J224" s="37"/>
      <c r="K224" s="37"/>
      <c r="L224" s="37"/>
      <c r="M224" s="37"/>
      <c r="N224" s="37"/>
      <c r="O224" s="35"/>
      <c r="P224" s="37"/>
      <c r="Q224" s="37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37"/>
      <c r="C225" s="38"/>
      <c r="D225" s="38"/>
      <c r="E225" s="37"/>
      <c r="F225" s="35" t="e">
        <f t="shared" ref="F225:F226" si="195">+#REF!</f>
        <v>#REF!</v>
      </c>
      <c r="G225" s="39"/>
      <c r="H225" s="37"/>
      <c r="I225" s="37"/>
      <c r="J225" s="37"/>
      <c r="K225" s="37"/>
      <c r="L225" s="37"/>
      <c r="M225" s="37"/>
      <c r="N225" s="37"/>
      <c r="O225" s="38"/>
      <c r="P225" s="37"/>
      <c r="Q225" s="37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37"/>
      <c r="C226" s="38"/>
      <c r="D226" s="38"/>
      <c r="E226" s="37"/>
      <c r="F226" s="35" t="e">
        <f t="shared" si="195"/>
        <v>#REF!</v>
      </c>
      <c r="G226" s="39"/>
      <c r="H226" s="37"/>
      <c r="I226" s="37"/>
      <c r="J226" s="37"/>
      <c r="K226" s="37"/>
      <c r="L226" s="37"/>
      <c r="M226" s="37"/>
      <c r="N226" s="37"/>
      <c r="O226" s="38"/>
      <c r="P226" s="37"/>
      <c r="Q226" s="37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37"/>
      <c r="C227" s="38"/>
      <c r="D227" s="38"/>
      <c r="E227" s="37"/>
      <c r="F227" s="39"/>
      <c r="G227" s="39"/>
      <c r="H227" s="37"/>
      <c r="I227" s="37"/>
      <c r="J227" s="37"/>
      <c r="K227" s="37"/>
      <c r="L227" s="37"/>
      <c r="M227" s="37"/>
      <c r="N227" s="37"/>
      <c r="O227" s="38"/>
      <c r="P227" s="37"/>
      <c r="Q227" s="37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34" t="e">
        <f>+#REF!</f>
        <v>#REF!</v>
      </c>
      <c r="C228" s="38"/>
      <c r="D228" s="35"/>
      <c r="E228" s="37"/>
      <c r="F228" s="39"/>
      <c r="G228" s="39"/>
      <c r="H228" s="37"/>
      <c r="I228" s="37"/>
      <c r="J228" s="37"/>
      <c r="K228" s="37"/>
      <c r="L228" s="37"/>
      <c r="M228" s="37"/>
      <c r="N228" s="37"/>
      <c r="O228" s="38"/>
      <c r="P228" s="37"/>
      <c r="Q228" s="37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37"/>
      <c r="C229" s="38"/>
      <c r="D229" s="38"/>
      <c r="E229" s="37"/>
      <c r="F229" s="39"/>
      <c r="G229" s="39"/>
      <c r="H229" s="37"/>
      <c r="I229" s="37"/>
      <c r="J229" s="37"/>
      <c r="K229" s="37"/>
      <c r="L229" s="37"/>
      <c r="M229" s="37"/>
      <c r="N229" s="37"/>
      <c r="O229" s="38"/>
      <c r="P229" s="37"/>
      <c r="Q229" s="37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 t="e">
        <f t="shared" ref="A230:G230" si="196">+#REF!</f>
        <v>#REF!</v>
      </c>
      <c r="B230" s="37" t="e">
        <f t="shared" si="196"/>
        <v>#REF!</v>
      </c>
      <c r="C230" s="38" t="e">
        <f t="shared" si="196"/>
        <v>#REF!</v>
      </c>
      <c r="D230" s="38" t="e">
        <f t="shared" si="196"/>
        <v>#REF!</v>
      </c>
      <c r="E230" s="37" t="e">
        <f t="shared" si="196"/>
        <v>#REF!</v>
      </c>
      <c r="F230" s="39" t="e">
        <f t="shared" si="196"/>
        <v>#REF!</v>
      </c>
      <c r="G230" s="39" t="e">
        <f t="shared" si="196"/>
        <v>#REF!</v>
      </c>
      <c r="H230" s="37">
        <v>60</v>
      </c>
      <c r="I230" s="37"/>
      <c r="J230" s="37"/>
      <c r="K230" s="37"/>
      <c r="L230" s="37"/>
      <c r="M230" s="37"/>
      <c r="N230" s="37">
        <f t="shared" ref="N230:N234" si="197">SUM(H230:L230)</f>
        <v>60</v>
      </c>
      <c r="O230" s="38" t="e">
        <f t="shared" ref="O230:O234" si="198">+#REF!</f>
        <v>#REF!</v>
      </c>
      <c r="P230" s="37">
        <v>60</v>
      </c>
      <c r="Q230" s="37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e">
        <f t="shared" ref="A231:G231" si="199">+#REF!</f>
        <v>#REF!</v>
      </c>
      <c r="B231" s="37" t="e">
        <f t="shared" si="199"/>
        <v>#REF!</v>
      </c>
      <c r="C231" s="38" t="e">
        <f t="shared" si="199"/>
        <v>#REF!</v>
      </c>
      <c r="D231" s="38" t="e">
        <f t="shared" si="199"/>
        <v>#REF!</v>
      </c>
      <c r="E231" s="37" t="e">
        <f t="shared" si="199"/>
        <v>#REF!</v>
      </c>
      <c r="F231" s="39" t="e">
        <f t="shared" si="199"/>
        <v>#REF!</v>
      </c>
      <c r="G231" s="39" t="e">
        <f t="shared" si="199"/>
        <v>#REF!</v>
      </c>
      <c r="H231" s="37">
        <v>60</v>
      </c>
      <c r="I231" s="37"/>
      <c r="J231" s="37"/>
      <c r="K231" s="37"/>
      <c r="L231" s="37"/>
      <c r="M231" s="37"/>
      <c r="N231" s="37">
        <f t="shared" si="197"/>
        <v>60</v>
      </c>
      <c r="O231" s="38" t="e">
        <f t="shared" si="198"/>
        <v>#REF!</v>
      </c>
      <c r="P231" s="37">
        <v>60</v>
      </c>
      <c r="Q231" s="37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 t="e">
        <f t="shared" ref="A232:G232" si="200">+#REF!</f>
        <v>#REF!</v>
      </c>
      <c r="B232" s="37" t="e">
        <f t="shared" si="200"/>
        <v>#REF!</v>
      </c>
      <c r="C232" s="38" t="e">
        <f t="shared" si="200"/>
        <v>#REF!</v>
      </c>
      <c r="D232" s="38" t="e">
        <f t="shared" si="200"/>
        <v>#REF!</v>
      </c>
      <c r="E232" s="37" t="e">
        <f t="shared" si="200"/>
        <v>#REF!</v>
      </c>
      <c r="F232" s="39" t="e">
        <f t="shared" si="200"/>
        <v>#REF!</v>
      </c>
      <c r="G232" s="39" t="e">
        <f t="shared" si="200"/>
        <v>#REF!</v>
      </c>
      <c r="H232" s="37">
        <v>60</v>
      </c>
      <c r="I232" s="37"/>
      <c r="J232" s="37"/>
      <c r="K232" s="37"/>
      <c r="L232" s="37"/>
      <c r="M232" s="37"/>
      <c r="N232" s="37">
        <f t="shared" si="197"/>
        <v>60</v>
      </c>
      <c r="O232" s="38" t="e">
        <f t="shared" si="198"/>
        <v>#REF!</v>
      </c>
      <c r="P232" s="37">
        <v>80</v>
      </c>
      <c r="Q232" s="37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 t="e">
        <f t="shared" ref="A233:G233" si="201">+#REF!</f>
        <v>#REF!</v>
      </c>
      <c r="B233" s="37" t="e">
        <f t="shared" si="201"/>
        <v>#REF!</v>
      </c>
      <c r="C233" s="38" t="e">
        <f t="shared" si="201"/>
        <v>#REF!</v>
      </c>
      <c r="D233" s="38" t="e">
        <f t="shared" si="201"/>
        <v>#REF!</v>
      </c>
      <c r="E233" s="37" t="e">
        <f t="shared" si="201"/>
        <v>#REF!</v>
      </c>
      <c r="F233" s="39" t="e">
        <f t="shared" si="201"/>
        <v>#REF!</v>
      </c>
      <c r="G233" s="39" t="e">
        <f t="shared" si="201"/>
        <v>#REF!</v>
      </c>
      <c r="H233" s="37">
        <v>60</v>
      </c>
      <c r="I233" s="37"/>
      <c r="J233" s="37"/>
      <c r="K233" s="37"/>
      <c r="L233" s="37"/>
      <c r="M233" s="37"/>
      <c r="N233" s="37">
        <f t="shared" si="197"/>
        <v>60</v>
      </c>
      <c r="O233" s="38" t="e">
        <f t="shared" si="198"/>
        <v>#REF!</v>
      </c>
      <c r="P233" s="37">
        <v>60</v>
      </c>
      <c r="Q233" s="37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 t="e">
        <f t="shared" ref="A234:G234" si="202">+#REF!</f>
        <v>#REF!</v>
      </c>
      <c r="B234" s="37" t="e">
        <f t="shared" si="202"/>
        <v>#REF!</v>
      </c>
      <c r="C234" s="38" t="e">
        <f t="shared" si="202"/>
        <v>#REF!</v>
      </c>
      <c r="D234" s="38" t="e">
        <f t="shared" si="202"/>
        <v>#REF!</v>
      </c>
      <c r="E234" s="37" t="e">
        <f t="shared" si="202"/>
        <v>#REF!</v>
      </c>
      <c r="F234" s="39" t="e">
        <f t="shared" si="202"/>
        <v>#REF!</v>
      </c>
      <c r="G234" s="39" t="e">
        <f t="shared" si="202"/>
        <v>#REF!</v>
      </c>
      <c r="H234" s="37">
        <v>60</v>
      </c>
      <c r="I234" s="37"/>
      <c r="J234" s="37"/>
      <c r="K234" s="37"/>
      <c r="L234" s="37"/>
      <c r="M234" s="37"/>
      <c r="N234" s="37">
        <f t="shared" si="197"/>
        <v>60</v>
      </c>
      <c r="O234" s="38" t="e">
        <f t="shared" si="198"/>
        <v>#REF!</v>
      </c>
      <c r="P234" s="37">
        <v>80</v>
      </c>
      <c r="Q234" s="37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7"/>
      <c r="D235" s="7"/>
      <c r="E235" s="2"/>
      <c r="F235" s="24"/>
      <c r="G235" s="24"/>
      <c r="H235" s="2"/>
      <c r="I235" s="2"/>
      <c r="J235" s="2"/>
      <c r="K235" s="2"/>
      <c r="L235" s="2"/>
      <c r="M235" s="2"/>
      <c r="N235" s="2"/>
      <c r="O235" s="7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7"/>
      <c r="D236" s="7"/>
      <c r="E236" s="2"/>
      <c r="F236" s="24"/>
      <c r="G236" s="24"/>
      <c r="H236" s="2"/>
      <c r="I236" s="2"/>
      <c r="J236" s="2"/>
      <c r="K236" s="2"/>
      <c r="L236" s="2"/>
      <c r="M236" s="2"/>
      <c r="N236" s="2"/>
      <c r="O236" s="7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7"/>
      <c r="D237" s="7"/>
      <c r="E237" s="2"/>
      <c r="F237" s="24"/>
      <c r="G237" s="24"/>
      <c r="H237" s="2"/>
      <c r="I237" s="2"/>
      <c r="J237" s="2"/>
      <c r="K237" s="2"/>
      <c r="L237" s="2"/>
      <c r="M237" s="2"/>
      <c r="N237" s="2"/>
      <c r="O237" s="7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7"/>
      <c r="D238" s="7"/>
      <c r="E238" s="2"/>
      <c r="F238" s="24"/>
      <c r="G238" s="24"/>
      <c r="H238" s="2"/>
      <c r="I238" s="2"/>
      <c r="J238" s="2"/>
      <c r="K238" s="2"/>
      <c r="L238" s="2"/>
      <c r="M238" s="2"/>
      <c r="N238" s="2"/>
      <c r="O238" s="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7"/>
      <c r="D239" s="7"/>
      <c r="E239" s="2"/>
      <c r="F239" s="24"/>
      <c r="G239" s="24"/>
      <c r="H239" s="2"/>
      <c r="I239" s="2"/>
      <c r="J239" s="2"/>
      <c r="K239" s="2"/>
      <c r="L239" s="2"/>
      <c r="M239" s="2"/>
      <c r="N239" s="2"/>
      <c r="O239" s="7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7"/>
      <c r="D240" s="7"/>
      <c r="E240" s="2"/>
      <c r="F240" s="24"/>
      <c r="G240" s="24"/>
      <c r="H240" s="2"/>
      <c r="I240" s="2"/>
      <c r="J240" s="2"/>
      <c r="K240" s="2"/>
      <c r="L240" s="2"/>
      <c r="M240" s="2"/>
      <c r="N240" s="2"/>
      <c r="O240" s="7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7"/>
      <c r="D241" s="7"/>
      <c r="E241" s="2"/>
      <c r="F241" s="24"/>
      <c r="G241" s="24"/>
      <c r="H241" s="2"/>
      <c r="I241" s="2"/>
      <c r="J241" s="2"/>
      <c r="K241" s="2"/>
      <c r="L241" s="2"/>
      <c r="M241" s="2"/>
      <c r="N241" s="2"/>
      <c r="O241" s="7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7"/>
      <c r="D242" s="7"/>
      <c r="E242" s="2"/>
      <c r="F242" s="24"/>
      <c r="G242" s="24"/>
      <c r="H242" s="2"/>
      <c r="I242" s="2"/>
      <c r="J242" s="2"/>
      <c r="K242" s="2"/>
      <c r="L242" s="2"/>
      <c r="M242" s="2"/>
      <c r="N242" s="2"/>
      <c r="O242" s="7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7"/>
      <c r="D243" s="7"/>
      <c r="E243" s="2"/>
      <c r="F243" s="24"/>
      <c r="G243" s="24"/>
      <c r="H243" s="2"/>
      <c r="I243" s="2"/>
      <c r="J243" s="2"/>
      <c r="K243" s="2"/>
      <c r="L243" s="2"/>
      <c r="M243" s="2"/>
      <c r="N243" s="2"/>
      <c r="O243" s="7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7"/>
      <c r="D244" s="7"/>
      <c r="E244" s="2"/>
      <c r="F244" s="24"/>
      <c r="G244" s="24"/>
      <c r="H244" s="2"/>
      <c r="I244" s="2"/>
      <c r="J244" s="2"/>
      <c r="K244" s="2"/>
      <c r="L244" s="2"/>
      <c r="M244" s="2"/>
      <c r="N244" s="2"/>
      <c r="O244" s="7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7"/>
      <c r="D245" s="7"/>
      <c r="E245" s="2"/>
      <c r="F245" s="24"/>
      <c r="G245" s="24"/>
      <c r="H245" s="2"/>
      <c r="I245" s="2"/>
      <c r="J245" s="2"/>
      <c r="K245" s="2"/>
      <c r="L245" s="2"/>
      <c r="M245" s="2"/>
      <c r="N245" s="2"/>
      <c r="O245" s="7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7"/>
      <c r="D246" s="7"/>
      <c r="E246" s="2"/>
      <c r="F246" s="24"/>
      <c r="G246" s="24"/>
      <c r="H246" s="2"/>
      <c r="I246" s="2"/>
      <c r="J246" s="2"/>
      <c r="K246" s="2"/>
      <c r="L246" s="2"/>
      <c r="M246" s="2"/>
      <c r="N246" s="2"/>
      <c r="O246" s="7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7"/>
      <c r="D247" s="7"/>
      <c r="E247" s="2"/>
      <c r="F247" s="24"/>
      <c r="G247" s="24"/>
      <c r="H247" s="2"/>
      <c r="I247" s="2"/>
      <c r="J247" s="2"/>
      <c r="K247" s="2"/>
      <c r="L247" s="2"/>
      <c r="M247" s="2"/>
      <c r="N247" s="2"/>
      <c r="O247" s="7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7"/>
      <c r="D248" s="7"/>
      <c r="E248" s="2"/>
      <c r="F248" s="24"/>
      <c r="G248" s="24"/>
      <c r="H248" s="2"/>
      <c r="I248" s="2"/>
      <c r="J248" s="2"/>
      <c r="K248" s="2"/>
      <c r="L248" s="2"/>
      <c r="M248" s="2"/>
      <c r="N248" s="2"/>
      <c r="O248" s="7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7"/>
      <c r="D249" s="7"/>
      <c r="E249" s="2"/>
      <c r="F249" s="24"/>
      <c r="G249" s="24"/>
      <c r="H249" s="2"/>
      <c r="I249" s="2"/>
      <c r="J249" s="2"/>
      <c r="K249" s="2"/>
      <c r="L249" s="2"/>
      <c r="M249" s="2"/>
      <c r="N249" s="2"/>
      <c r="O249" s="7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7"/>
      <c r="D250" s="7"/>
      <c r="E250" s="2"/>
      <c r="F250" s="24"/>
      <c r="G250" s="24"/>
      <c r="H250" s="2"/>
      <c r="I250" s="2"/>
      <c r="J250" s="2"/>
      <c r="K250" s="2"/>
      <c r="L250" s="2"/>
      <c r="M250" s="2"/>
      <c r="N250" s="2"/>
      <c r="O250" s="7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7"/>
      <c r="D251" s="7"/>
      <c r="E251" s="2"/>
      <c r="F251" s="24"/>
      <c r="G251" s="24"/>
      <c r="H251" s="2"/>
      <c r="I251" s="2"/>
      <c r="J251" s="2"/>
      <c r="K251" s="2"/>
      <c r="L251" s="2"/>
      <c r="M251" s="2"/>
      <c r="N251" s="2"/>
      <c r="O251" s="7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7"/>
      <c r="D252" s="7"/>
      <c r="E252" s="2"/>
      <c r="F252" s="24"/>
      <c r="G252" s="24"/>
      <c r="H252" s="2"/>
      <c r="I252" s="2"/>
      <c r="J252" s="2"/>
      <c r="K252" s="2"/>
      <c r="L252" s="2"/>
      <c r="M252" s="2"/>
      <c r="N252" s="2"/>
      <c r="O252" s="7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7"/>
      <c r="D253" s="7"/>
      <c r="E253" s="2"/>
      <c r="F253" s="24"/>
      <c r="G253" s="24"/>
      <c r="H253" s="2"/>
      <c r="I253" s="2"/>
      <c r="J253" s="2"/>
      <c r="K253" s="2"/>
      <c r="L253" s="2"/>
      <c r="M253" s="2"/>
      <c r="N253" s="2"/>
      <c r="O253" s="7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7"/>
      <c r="D254" s="7"/>
      <c r="E254" s="2"/>
      <c r="F254" s="24"/>
      <c r="G254" s="24"/>
      <c r="H254" s="2"/>
      <c r="I254" s="2"/>
      <c r="J254" s="2"/>
      <c r="K254" s="2"/>
      <c r="L254" s="2"/>
      <c r="M254" s="2"/>
      <c r="N254" s="2"/>
      <c r="O254" s="7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7"/>
      <c r="D255" s="7"/>
      <c r="E255" s="2"/>
      <c r="F255" s="24"/>
      <c r="G255" s="24"/>
      <c r="H255" s="2"/>
      <c r="I255" s="2"/>
      <c r="J255" s="2"/>
      <c r="K255" s="2"/>
      <c r="L255" s="2"/>
      <c r="M255" s="2"/>
      <c r="N255" s="2"/>
      <c r="O255" s="7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7"/>
      <c r="D256" s="7"/>
      <c r="E256" s="2"/>
      <c r="F256" s="24"/>
      <c r="G256" s="24"/>
      <c r="H256" s="2"/>
      <c r="I256" s="2"/>
      <c r="J256" s="2"/>
      <c r="K256" s="2"/>
      <c r="L256" s="2"/>
      <c r="M256" s="2"/>
      <c r="N256" s="2"/>
      <c r="O256" s="7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7"/>
      <c r="D257" s="7"/>
      <c r="E257" s="2"/>
      <c r="F257" s="24"/>
      <c r="G257" s="24"/>
      <c r="H257" s="2"/>
      <c r="I257" s="2"/>
      <c r="J257" s="2"/>
      <c r="K257" s="2"/>
      <c r="L257" s="2"/>
      <c r="M257" s="2"/>
      <c r="N257" s="2"/>
      <c r="O257" s="7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7"/>
      <c r="D258" s="7"/>
      <c r="E258" s="2"/>
      <c r="F258" s="24"/>
      <c r="G258" s="24"/>
      <c r="H258" s="2"/>
      <c r="I258" s="2"/>
      <c r="J258" s="2"/>
      <c r="K258" s="2"/>
      <c r="L258" s="2"/>
      <c r="M258" s="2"/>
      <c r="N258" s="2"/>
      <c r="O258" s="7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7"/>
      <c r="D259" s="7"/>
      <c r="E259" s="2"/>
      <c r="F259" s="24"/>
      <c r="G259" s="24"/>
      <c r="H259" s="2"/>
      <c r="I259" s="2"/>
      <c r="J259" s="2"/>
      <c r="K259" s="2"/>
      <c r="L259" s="2"/>
      <c r="M259" s="2"/>
      <c r="N259" s="2"/>
      <c r="O259" s="7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7"/>
      <c r="D260" s="7"/>
      <c r="E260" s="2"/>
      <c r="F260" s="24"/>
      <c r="G260" s="24"/>
      <c r="H260" s="2"/>
      <c r="I260" s="2"/>
      <c r="J260" s="2"/>
      <c r="K260" s="2"/>
      <c r="L260" s="2"/>
      <c r="M260" s="2"/>
      <c r="N260" s="2"/>
      <c r="O260" s="7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7"/>
      <c r="D261" s="7"/>
      <c r="E261" s="2"/>
      <c r="F261" s="24"/>
      <c r="G261" s="24"/>
      <c r="H261" s="2"/>
      <c r="I261" s="2"/>
      <c r="J261" s="2"/>
      <c r="K261" s="2"/>
      <c r="L261" s="2"/>
      <c r="M261" s="2"/>
      <c r="N261" s="2"/>
      <c r="O261" s="7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7"/>
      <c r="D262" s="7"/>
      <c r="E262" s="2"/>
      <c r="F262" s="24"/>
      <c r="G262" s="24"/>
      <c r="H262" s="2"/>
      <c r="I262" s="2"/>
      <c r="J262" s="2"/>
      <c r="K262" s="2"/>
      <c r="L262" s="2"/>
      <c r="M262" s="2"/>
      <c r="N262" s="2"/>
      <c r="O262" s="7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7"/>
      <c r="D263" s="7"/>
      <c r="E263" s="2"/>
      <c r="F263" s="24"/>
      <c r="G263" s="24"/>
      <c r="H263" s="2"/>
      <c r="I263" s="2"/>
      <c r="J263" s="2"/>
      <c r="K263" s="2"/>
      <c r="L263" s="2"/>
      <c r="M263" s="2"/>
      <c r="N263" s="2"/>
      <c r="O263" s="7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7"/>
      <c r="D264" s="7"/>
      <c r="E264" s="2"/>
      <c r="F264" s="24"/>
      <c r="G264" s="24"/>
      <c r="H264" s="2"/>
      <c r="I264" s="2"/>
      <c r="J264" s="2"/>
      <c r="K264" s="2"/>
      <c r="L264" s="2"/>
      <c r="M264" s="2"/>
      <c r="N264" s="2"/>
      <c r="O264" s="7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7"/>
      <c r="D265" s="7"/>
      <c r="E265" s="2"/>
      <c r="F265" s="24"/>
      <c r="G265" s="24"/>
      <c r="H265" s="2"/>
      <c r="I265" s="2"/>
      <c r="J265" s="2"/>
      <c r="K265" s="2"/>
      <c r="L265" s="2"/>
      <c r="M265" s="2"/>
      <c r="N265" s="2"/>
      <c r="O265" s="7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7"/>
      <c r="D266" s="7"/>
      <c r="E266" s="2"/>
      <c r="F266" s="24"/>
      <c r="G266" s="24"/>
      <c r="H266" s="2"/>
      <c r="I266" s="2"/>
      <c r="J266" s="2"/>
      <c r="K266" s="2"/>
      <c r="L266" s="2"/>
      <c r="M266" s="2"/>
      <c r="N266" s="2"/>
      <c r="O266" s="7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7"/>
      <c r="D267" s="7"/>
      <c r="E267" s="2"/>
      <c r="F267" s="24"/>
      <c r="G267" s="24"/>
      <c r="H267" s="2"/>
      <c r="I267" s="2"/>
      <c r="J267" s="2"/>
      <c r="K267" s="2"/>
      <c r="L267" s="2"/>
      <c r="M267" s="2"/>
      <c r="N267" s="2"/>
      <c r="O267" s="7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7"/>
      <c r="D268" s="7"/>
      <c r="E268" s="2"/>
      <c r="F268" s="24"/>
      <c r="G268" s="24"/>
      <c r="H268" s="2"/>
      <c r="I268" s="2"/>
      <c r="J268" s="2"/>
      <c r="K268" s="2"/>
      <c r="L268" s="2"/>
      <c r="M268" s="2"/>
      <c r="N268" s="2"/>
      <c r="O268" s="7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7"/>
      <c r="D269" s="7"/>
      <c r="E269" s="2"/>
      <c r="F269" s="24"/>
      <c r="G269" s="24"/>
      <c r="H269" s="2"/>
      <c r="I269" s="2"/>
      <c r="J269" s="2"/>
      <c r="K269" s="2"/>
      <c r="L269" s="2"/>
      <c r="M269" s="2"/>
      <c r="N269" s="2"/>
      <c r="O269" s="7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7"/>
      <c r="D270" s="7"/>
      <c r="E270" s="2"/>
      <c r="F270" s="24"/>
      <c r="G270" s="24"/>
      <c r="H270" s="2"/>
      <c r="I270" s="2"/>
      <c r="J270" s="2"/>
      <c r="K270" s="2"/>
      <c r="L270" s="2"/>
      <c r="M270" s="2"/>
      <c r="N270" s="2"/>
      <c r="O270" s="7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7"/>
      <c r="D271" s="7"/>
      <c r="E271" s="2"/>
      <c r="F271" s="24"/>
      <c r="G271" s="24"/>
      <c r="H271" s="2"/>
      <c r="I271" s="2"/>
      <c r="J271" s="2"/>
      <c r="K271" s="2"/>
      <c r="L271" s="2"/>
      <c r="M271" s="2"/>
      <c r="N271" s="2"/>
      <c r="O271" s="7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7"/>
      <c r="D272" s="7"/>
      <c r="E272" s="2"/>
      <c r="F272" s="24"/>
      <c r="G272" s="24"/>
      <c r="H272" s="2"/>
      <c r="I272" s="2"/>
      <c r="J272" s="2"/>
      <c r="K272" s="2"/>
      <c r="L272" s="2"/>
      <c r="M272" s="2"/>
      <c r="N272" s="2"/>
      <c r="O272" s="7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7"/>
      <c r="D273" s="7"/>
      <c r="E273" s="2"/>
      <c r="F273" s="24"/>
      <c r="G273" s="24"/>
      <c r="H273" s="2"/>
      <c r="I273" s="2"/>
      <c r="J273" s="2"/>
      <c r="K273" s="2"/>
      <c r="L273" s="2"/>
      <c r="M273" s="2"/>
      <c r="N273" s="2"/>
      <c r="O273" s="7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7"/>
      <c r="D274" s="7"/>
      <c r="E274" s="2"/>
      <c r="F274" s="24"/>
      <c r="G274" s="24"/>
      <c r="H274" s="2"/>
      <c r="I274" s="2"/>
      <c r="J274" s="2"/>
      <c r="K274" s="2"/>
      <c r="L274" s="2"/>
      <c r="M274" s="2"/>
      <c r="N274" s="2"/>
      <c r="O274" s="7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7"/>
      <c r="D275" s="7"/>
      <c r="E275" s="2"/>
      <c r="F275" s="24"/>
      <c r="G275" s="24"/>
      <c r="H275" s="2"/>
      <c r="I275" s="2"/>
      <c r="J275" s="2"/>
      <c r="K275" s="2"/>
      <c r="L275" s="2"/>
      <c r="M275" s="2"/>
      <c r="N275" s="2"/>
      <c r="O275" s="7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7"/>
      <c r="D276" s="7"/>
      <c r="E276" s="2"/>
      <c r="F276" s="24"/>
      <c r="G276" s="24"/>
      <c r="H276" s="2"/>
      <c r="I276" s="2"/>
      <c r="J276" s="2"/>
      <c r="K276" s="2"/>
      <c r="L276" s="2"/>
      <c r="M276" s="2"/>
      <c r="N276" s="2"/>
      <c r="O276" s="7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7"/>
      <c r="D277" s="7"/>
      <c r="E277" s="2"/>
      <c r="F277" s="24"/>
      <c r="G277" s="24"/>
      <c r="H277" s="2"/>
      <c r="I277" s="2"/>
      <c r="J277" s="2"/>
      <c r="K277" s="2"/>
      <c r="L277" s="2"/>
      <c r="M277" s="2"/>
      <c r="N277" s="2"/>
      <c r="O277" s="7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7"/>
      <c r="D278" s="7"/>
      <c r="E278" s="2"/>
      <c r="F278" s="24"/>
      <c r="G278" s="24"/>
      <c r="H278" s="2"/>
      <c r="I278" s="2"/>
      <c r="J278" s="2"/>
      <c r="K278" s="2"/>
      <c r="L278" s="2"/>
      <c r="M278" s="2"/>
      <c r="N278" s="2"/>
      <c r="O278" s="7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7"/>
      <c r="D279" s="7"/>
      <c r="E279" s="2"/>
      <c r="F279" s="24"/>
      <c r="G279" s="24"/>
      <c r="H279" s="2"/>
      <c r="I279" s="2"/>
      <c r="J279" s="2"/>
      <c r="K279" s="2"/>
      <c r="L279" s="2"/>
      <c r="M279" s="2"/>
      <c r="N279" s="2"/>
      <c r="O279" s="7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7"/>
      <c r="D280" s="7"/>
      <c r="E280" s="2"/>
      <c r="F280" s="24"/>
      <c r="G280" s="24"/>
      <c r="H280" s="2"/>
      <c r="I280" s="2"/>
      <c r="J280" s="2"/>
      <c r="K280" s="2"/>
      <c r="L280" s="2"/>
      <c r="M280" s="2"/>
      <c r="N280" s="2"/>
      <c r="O280" s="7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7"/>
      <c r="D281" s="7"/>
      <c r="E281" s="2"/>
      <c r="F281" s="24"/>
      <c r="G281" s="24"/>
      <c r="H281" s="2"/>
      <c r="I281" s="2"/>
      <c r="J281" s="2"/>
      <c r="K281" s="2"/>
      <c r="L281" s="2"/>
      <c r="M281" s="2"/>
      <c r="N281" s="2"/>
      <c r="O281" s="7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7"/>
      <c r="D282" s="7"/>
      <c r="E282" s="2"/>
      <c r="F282" s="24"/>
      <c r="G282" s="24"/>
      <c r="H282" s="2"/>
      <c r="I282" s="2"/>
      <c r="J282" s="2"/>
      <c r="K282" s="2"/>
      <c r="L282" s="2"/>
      <c r="M282" s="2"/>
      <c r="N282" s="2"/>
      <c r="O282" s="7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7"/>
      <c r="D283" s="7"/>
      <c r="E283" s="2"/>
      <c r="F283" s="24"/>
      <c r="G283" s="24"/>
      <c r="H283" s="2"/>
      <c r="I283" s="2"/>
      <c r="J283" s="2"/>
      <c r="K283" s="2"/>
      <c r="L283" s="2"/>
      <c r="M283" s="2"/>
      <c r="N283" s="2"/>
      <c r="O283" s="7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7"/>
      <c r="D284" s="7"/>
      <c r="E284" s="2"/>
      <c r="F284" s="24"/>
      <c r="G284" s="24"/>
      <c r="H284" s="2"/>
      <c r="I284" s="2"/>
      <c r="J284" s="2"/>
      <c r="K284" s="2"/>
      <c r="L284" s="2"/>
      <c r="M284" s="2"/>
      <c r="N284" s="2"/>
      <c r="O284" s="7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7"/>
      <c r="D285" s="7"/>
      <c r="E285" s="2"/>
      <c r="F285" s="24"/>
      <c r="G285" s="24"/>
      <c r="H285" s="2"/>
      <c r="I285" s="2"/>
      <c r="J285" s="2"/>
      <c r="K285" s="2"/>
      <c r="L285" s="2"/>
      <c r="M285" s="2"/>
      <c r="N285" s="2"/>
      <c r="O285" s="7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7"/>
      <c r="D286" s="7"/>
      <c r="E286" s="2"/>
      <c r="F286" s="24"/>
      <c r="G286" s="24"/>
      <c r="H286" s="2"/>
      <c r="I286" s="2"/>
      <c r="J286" s="2"/>
      <c r="K286" s="2"/>
      <c r="L286" s="2"/>
      <c r="M286" s="2"/>
      <c r="N286" s="2"/>
      <c r="O286" s="7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7"/>
      <c r="D287" s="7"/>
      <c r="E287" s="2"/>
      <c r="F287" s="24"/>
      <c r="G287" s="24"/>
      <c r="H287" s="2"/>
      <c r="I287" s="2"/>
      <c r="J287" s="2"/>
      <c r="K287" s="2"/>
      <c r="L287" s="2"/>
      <c r="M287" s="2"/>
      <c r="N287" s="2"/>
      <c r="O287" s="7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7"/>
      <c r="D288" s="7"/>
      <c r="E288" s="2"/>
      <c r="F288" s="24"/>
      <c r="G288" s="24"/>
      <c r="H288" s="2"/>
      <c r="I288" s="2"/>
      <c r="J288" s="2"/>
      <c r="K288" s="2"/>
      <c r="L288" s="2"/>
      <c r="M288" s="2"/>
      <c r="N288" s="2"/>
      <c r="O288" s="7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7"/>
      <c r="D289" s="7"/>
      <c r="E289" s="2"/>
      <c r="F289" s="24"/>
      <c r="G289" s="24"/>
      <c r="H289" s="2"/>
      <c r="I289" s="2"/>
      <c r="J289" s="2"/>
      <c r="K289" s="2"/>
      <c r="L289" s="2"/>
      <c r="M289" s="2"/>
      <c r="N289" s="2"/>
      <c r="O289" s="7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7"/>
      <c r="D290" s="7"/>
      <c r="E290" s="2"/>
      <c r="F290" s="24"/>
      <c r="G290" s="24"/>
      <c r="H290" s="2"/>
      <c r="I290" s="2"/>
      <c r="J290" s="2"/>
      <c r="K290" s="2"/>
      <c r="L290" s="2"/>
      <c r="M290" s="2"/>
      <c r="N290" s="2"/>
      <c r="O290" s="7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7"/>
      <c r="D291" s="7"/>
      <c r="E291" s="2"/>
      <c r="F291" s="24"/>
      <c r="G291" s="24"/>
      <c r="H291" s="2"/>
      <c r="I291" s="2"/>
      <c r="J291" s="2"/>
      <c r="K291" s="2"/>
      <c r="L291" s="2"/>
      <c r="M291" s="2"/>
      <c r="N291" s="2"/>
      <c r="O291" s="7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7"/>
      <c r="D292" s="7"/>
      <c r="E292" s="2"/>
      <c r="F292" s="24"/>
      <c r="G292" s="24"/>
      <c r="H292" s="2"/>
      <c r="I292" s="2"/>
      <c r="J292" s="2"/>
      <c r="K292" s="2"/>
      <c r="L292" s="2"/>
      <c r="M292" s="2"/>
      <c r="N292" s="2"/>
      <c r="O292" s="7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7"/>
      <c r="D293" s="7"/>
      <c r="E293" s="2"/>
      <c r="F293" s="24"/>
      <c r="G293" s="24"/>
      <c r="H293" s="2"/>
      <c r="I293" s="2"/>
      <c r="J293" s="2"/>
      <c r="K293" s="2"/>
      <c r="L293" s="2"/>
      <c r="M293" s="2"/>
      <c r="N293" s="2"/>
      <c r="O293" s="7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7"/>
      <c r="D294" s="7"/>
      <c r="E294" s="2"/>
      <c r="F294" s="24"/>
      <c r="G294" s="24"/>
      <c r="H294" s="2"/>
      <c r="I294" s="2"/>
      <c r="J294" s="2"/>
      <c r="K294" s="2"/>
      <c r="L294" s="2"/>
      <c r="M294" s="2"/>
      <c r="N294" s="2"/>
      <c r="O294" s="7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7"/>
      <c r="D295" s="7"/>
      <c r="E295" s="2"/>
      <c r="F295" s="24"/>
      <c r="G295" s="24"/>
      <c r="H295" s="2"/>
      <c r="I295" s="2"/>
      <c r="J295" s="2"/>
      <c r="K295" s="2"/>
      <c r="L295" s="2"/>
      <c r="M295" s="2"/>
      <c r="N295" s="2"/>
      <c r="O295" s="7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7"/>
      <c r="D296" s="7"/>
      <c r="E296" s="2"/>
      <c r="F296" s="24"/>
      <c r="G296" s="24"/>
      <c r="H296" s="2"/>
      <c r="I296" s="2"/>
      <c r="J296" s="2"/>
      <c r="K296" s="2"/>
      <c r="L296" s="2"/>
      <c r="M296" s="2"/>
      <c r="N296" s="2"/>
      <c r="O296" s="7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7"/>
      <c r="D297" s="7"/>
      <c r="E297" s="2"/>
      <c r="F297" s="24"/>
      <c r="G297" s="24"/>
      <c r="H297" s="2"/>
      <c r="I297" s="2"/>
      <c r="J297" s="2"/>
      <c r="K297" s="2"/>
      <c r="L297" s="2"/>
      <c r="M297" s="2"/>
      <c r="N297" s="2"/>
      <c r="O297" s="7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7"/>
      <c r="D298" s="7"/>
      <c r="E298" s="2"/>
      <c r="F298" s="24"/>
      <c r="G298" s="24"/>
      <c r="H298" s="2"/>
      <c r="I298" s="2"/>
      <c r="J298" s="2"/>
      <c r="K298" s="2"/>
      <c r="L298" s="2"/>
      <c r="M298" s="2"/>
      <c r="N298" s="2"/>
      <c r="O298" s="7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7"/>
      <c r="D299" s="7"/>
      <c r="E299" s="2"/>
      <c r="F299" s="24"/>
      <c r="G299" s="24"/>
      <c r="H299" s="2"/>
      <c r="I299" s="2"/>
      <c r="J299" s="2"/>
      <c r="K299" s="2"/>
      <c r="L299" s="2"/>
      <c r="M299" s="2"/>
      <c r="N299" s="2"/>
      <c r="O299" s="7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7"/>
      <c r="D300" s="7"/>
      <c r="E300" s="2"/>
      <c r="F300" s="24"/>
      <c r="G300" s="24"/>
      <c r="H300" s="2"/>
      <c r="I300" s="2"/>
      <c r="J300" s="2"/>
      <c r="K300" s="2"/>
      <c r="L300" s="2"/>
      <c r="M300" s="2"/>
      <c r="N300" s="2"/>
      <c r="O300" s="7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7"/>
      <c r="D301" s="7"/>
      <c r="E301" s="2"/>
      <c r="F301" s="24"/>
      <c r="G301" s="24"/>
      <c r="H301" s="2"/>
      <c r="I301" s="2"/>
      <c r="J301" s="2"/>
      <c r="K301" s="2"/>
      <c r="L301" s="2"/>
      <c r="M301" s="2"/>
      <c r="N301" s="2"/>
      <c r="O301" s="7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7"/>
      <c r="D302" s="7"/>
      <c r="E302" s="2"/>
      <c r="F302" s="24"/>
      <c r="G302" s="24"/>
      <c r="H302" s="2"/>
      <c r="I302" s="2"/>
      <c r="J302" s="2"/>
      <c r="K302" s="2"/>
      <c r="L302" s="2"/>
      <c r="M302" s="2"/>
      <c r="N302" s="2"/>
      <c r="O302" s="7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7"/>
      <c r="D303" s="7"/>
      <c r="E303" s="2"/>
      <c r="F303" s="24"/>
      <c r="G303" s="24"/>
      <c r="H303" s="2"/>
      <c r="I303" s="2"/>
      <c r="J303" s="2"/>
      <c r="K303" s="2"/>
      <c r="L303" s="2"/>
      <c r="M303" s="2"/>
      <c r="N303" s="2"/>
      <c r="O303" s="7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7"/>
      <c r="D304" s="7"/>
      <c r="E304" s="2"/>
      <c r="F304" s="24"/>
      <c r="G304" s="24"/>
      <c r="H304" s="2"/>
      <c r="I304" s="2"/>
      <c r="J304" s="2"/>
      <c r="K304" s="2"/>
      <c r="L304" s="2"/>
      <c r="M304" s="2"/>
      <c r="N304" s="2"/>
      <c r="O304" s="7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7"/>
      <c r="D305" s="7"/>
      <c r="E305" s="2"/>
      <c r="F305" s="24"/>
      <c r="G305" s="24"/>
      <c r="H305" s="2"/>
      <c r="I305" s="2"/>
      <c r="J305" s="2"/>
      <c r="K305" s="2"/>
      <c r="L305" s="2"/>
      <c r="M305" s="2"/>
      <c r="N305" s="2"/>
      <c r="O305" s="7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7"/>
      <c r="D306" s="7"/>
      <c r="E306" s="2"/>
      <c r="F306" s="24"/>
      <c r="G306" s="24"/>
      <c r="H306" s="2"/>
      <c r="I306" s="2"/>
      <c r="J306" s="2"/>
      <c r="K306" s="2"/>
      <c r="L306" s="2"/>
      <c r="M306" s="2"/>
      <c r="N306" s="2"/>
      <c r="O306" s="7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7"/>
      <c r="D307" s="7"/>
      <c r="E307" s="2"/>
      <c r="F307" s="24"/>
      <c r="G307" s="24"/>
      <c r="H307" s="2"/>
      <c r="I307" s="2"/>
      <c r="J307" s="2"/>
      <c r="K307" s="2"/>
      <c r="L307" s="2"/>
      <c r="M307" s="2"/>
      <c r="N307" s="2"/>
      <c r="O307" s="7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7"/>
      <c r="D308" s="7"/>
      <c r="E308" s="2"/>
      <c r="F308" s="24"/>
      <c r="G308" s="24"/>
      <c r="H308" s="2"/>
      <c r="I308" s="2"/>
      <c r="J308" s="2"/>
      <c r="K308" s="2"/>
      <c r="L308" s="2"/>
      <c r="M308" s="2"/>
      <c r="N308" s="2"/>
      <c r="O308" s="7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7"/>
      <c r="D309" s="7"/>
      <c r="E309" s="2"/>
      <c r="F309" s="24"/>
      <c r="G309" s="24"/>
      <c r="H309" s="2"/>
      <c r="I309" s="2"/>
      <c r="J309" s="2"/>
      <c r="K309" s="2"/>
      <c r="L309" s="2"/>
      <c r="M309" s="2"/>
      <c r="N309" s="2"/>
      <c r="O309" s="7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7"/>
      <c r="D310" s="7"/>
      <c r="E310" s="2"/>
      <c r="F310" s="24"/>
      <c r="G310" s="24"/>
      <c r="H310" s="2"/>
      <c r="I310" s="2"/>
      <c r="J310" s="2"/>
      <c r="K310" s="2"/>
      <c r="L310" s="2"/>
      <c r="M310" s="2"/>
      <c r="N310" s="2"/>
      <c r="O310" s="7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7"/>
      <c r="D311" s="7"/>
      <c r="E311" s="2"/>
      <c r="F311" s="24"/>
      <c r="G311" s="24"/>
      <c r="H311" s="2"/>
      <c r="I311" s="2"/>
      <c r="J311" s="2"/>
      <c r="K311" s="2"/>
      <c r="L311" s="2"/>
      <c r="M311" s="2"/>
      <c r="N311" s="2"/>
      <c r="O311" s="7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7"/>
      <c r="D312" s="7"/>
      <c r="E312" s="2"/>
      <c r="F312" s="24"/>
      <c r="G312" s="24"/>
      <c r="H312" s="2"/>
      <c r="I312" s="2"/>
      <c r="J312" s="2"/>
      <c r="K312" s="2"/>
      <c r="L312" s="2"/>
      <c r="M312" s="2"/>
      <c r="N312" s="2"/>
      <c r="O312" s="7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7"/>
      <c r="D313" s="7"/>
      <c r="E313" s="2"/>
      <c r="F313" s="24"/>
      <c r="G313" s="24"/>
      <c r="H313" s="2"/>
      <c r="I313" s="2"/>
      <c r="J313" s="2"/>
      <c r="K313" s="2"/>
      <c r="L313" s="2"/>
      <c r="M313" s="2"/>
      <c r="N313" s="2"/>
      <c r="O313" s="7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7"/>
      <c r="D314" s="7"/>
      <c r="E314" s="2"/>
      <c r="F314" s="24"/>
      <c r="G314" s="24"/>
      <c r="H314" s="2"/>
      <c r="I314" s="2"/>
      <c r="J314" s="2"/>
      <c r="K314" s="2"/>
      <c r="L314" s="2"/>
      <c r="M314" s="2"/>
      <c r="N314" s="2"/>
      <c r="O314" s="7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7"/>
      <c r="D315" s="7"/>
      <c r="E315" s="2"/>
      <c r="F315" s="24"/>
      <c r="G315" s="24"/>
      <c r="H315" s="2"/>
      <c r="I315" s="2"/>
      <c r="J315" s="2"/>
      <c r="K315" s="2"/>
      <c r="L315" s="2"/>
      <c r="M315" s="2"/>
      <c r="N315" s="2"/>
      <c r="O315" s="7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7"/>
      <c r="D316" s="7"/>
      <c r="E316" s="2"/>
      <c r="F316" s="24"/>
      <c r="G316" s="24"/>
      <c r="H316" s="2"/>
      <c r="I316" s="2"/>
      <c r="J316" s="2"/>
      <c r="K316" s="2"/>
      <c r="L316" s="2"/>
      <c r="M316" s="2"/>
      <c r="N316" s="2"/>
      <c r="O316" s="7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7"/>
      <c r="D317" s="7"/>
      <c r="E317" s="2"/>
      <c r="F317" s="24"/>
      <c r="G317" s="24"/>
      <c r="H317" s="2"/>
      <c r="I317" s="2"/>
      <c r="J317" s="2"/>
      <c r="K317" s="2"/>
      <c r="L317" s="2"/>
      <c r="M317" s="2"/>
      <c r="N317" s="2"/>
      <c r="O317" s="7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7"/>
      <c r="D318" s="7"/>
      <c r="E318" s="2"/>
      <c r="F318" s="24"/>
      <c r="G318" s="24"/>
      <c r="H318" s="2"/>
      <c r="I318" s="2"/>
      <c r="J318" s="2"/>
      <c r="K318" s="2"/>
      <c r="L318" s="2"/>
      <c r="M318" s="2"/>
      <c r="N318" s="2"/>
      <c r="O318" s="7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7"/>
      <c r="D319" s="7"/>
      <c r="E319" s="2"/>
      <c r="F319" s="24"/>
      <c r="G319" s="24"/>
      <c r="H319" s="2"/>
      <c r="I319" s="2"/>
      <c r="J319" s="2"/>
      <c r="K319" s="2"/>
      <c r="L319" s="2"/>
      <c r="M319" s="2"/>
      <c r="N319" s="2"/>
      <c r="O319" s="7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7"/>
      <c r="D320" s="7"/>
      <c r="E320" s="2"/>
      <c r="F320" s="24"/>
      <c r="G320" s="24"/>
      <c r="H320" s="2"/>
      <c r="I320" s="2"/>
      <c r="J320" s="2"/>
      <c r="K320" s="2"/>
      <c r="L320" s="2"/>
      <c r="M320" s="2"/>
      <c r="N320" s="2"/>
      <c r="O320" s="7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7"/>
      <c r="D321" s="7"/>
      <c r="E321" s="2"/>
      <c r="F321" s="24"/>
      <c r="G321" s="24"/>
      <c r="H321" s="2"/>
      <c r="I321" s="2"/>
      <c r="J321" s="2"/>
      <c r="K321" s="2"/>
      <c r="L321" s="2"/>
      <c r="M321" s="2"/>
      <c r="N321" s="2"/>
      <c r="O321" s="7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7"/>
      <c r="D322" s="7"/>
      <c r="E322" s="2"/>
      <c r="F322" s="24"/>
      <c r="G322" s="24"/>
      <c r="H322" s="2"/>
      <c r="I322" s="2"/>
      <c r="J322" s="2"/>
      <c r="K322" s="2"/>
      <c r="L322" s="2"/>
      <c r="M322" s="2"/>
      <c r="N322" s="2"/>
      <c r="O322" s="7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7"/>
      <c r="D323" s="7"/>
      <c r="E323" s="2"/>
      <c r="F323" s="24"/>
      <c r="G323" s="24"/>
      <c r="H323" s="2"/>
      <c r="I323" s="2"/>
      <c r="J323" s="2"/>
      <c r="K323" s="2"/>
      <c r="L323" s="2"/>
      <c r="M323" s="2"/>
      <c r="N323" s="2"/>
      <c r="O323" s="7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7"/>
      <c r="D324" s="7"/>
      <c r="E324" s="2"/>
      <c r="F324" s="24"/>
      <c r="G324" s="24"/>
      <c r="H324" s="2"/>
      <c r="I324" s="2"/>
      <c r="J324" s="2"/>
      <c r="K324" s="2"/>
      <c r="L324" s="2"/>
      <c r="M324" s="2"/>
      <c r="N324" s="2"/>
      <c r="O324" s="7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7"/>
      <c r="D325" s="7"/>
      <c r="E325" s="2"/>
      <c r="F325" s="24"/>
      <c r="G325" s="24"/>
      <c r="H325" s="2"/>
      <c r="I325" s="2"/>
      <c r="J325" s="2"/>
      <c r="K325" s="2"/>
      <c r="L325" s="2"/>
      <c r="M325" s="2"/>
      <c r="N325" s="2"/>
      <c r="O325" s="7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7"/>
      <c r="D326" s="7"/>
      <c r="E326" s="2"/>
      <c r="F326" s="24"/>
      <c r="G326" s="24"/>
      <c r="H326" s="2"/>
      <c r="I326" s="2"/>
      <c r="J326" s="2"/>
      <c r="K326" s="2"/>
      <c r="L326" s="2"/>
      <c r="M326" s="2"/>
      <c r="N326" s="2"/>
      <c r="O326" s="7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7"/>
      <c r="D327" s="7"/>
      <c r="E327" s="2"/>
      <c r="F327" s="24"/>
      <c r="G327" s="24"/>
      <c r="H327" s="2"/>
      <c r="I327" s="2"/>
      <c r="J327" s="2"/>
      <c r="K327" s="2"/>
      <c r="L327" s="2"/>
      <c r="M327" s="2"/>
      <c r="N327" s="2"/>
      <c r="O327" s="7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7"/>
      <c r="D328" s="7"/>
      <c r="E328" s="2"/>
      <c r="F328" s="24"/>
      <c r="G328" s="24"/>
      <c r="H328" s="2"/>
      <c r="I328" s="2"/>
      <c r="J328" s="2"/>
      <c r="K328" s="2"/>
      <c r="L328" s="2"/>
      <c r="M328" s="2"/>
      <c r="N328" s="2"/>
      <c r="O328" s="7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7"/>
      <c r="D329" s="7"/>
      <c r="E329" s="2"/>
      <c r="F329" s="24"/>
      <c r="G329" s="24"/>
      <c r="H329" s="2"/>
      <c r="I329" s="2"/>
      <c r="J329" s="2"/>
      <c r="K329" s="2"/>
      <c r="L329" s="2"/>
      <c r="M329" s="2"/>
      <c r="N329" s="2"/>
      <c r="O329" s="7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7"/>
      <c r="D330" s="7"/>
      <c r="E330" s="2"/>
      <c r="F330" s="24"/>
      <c r="G330" s="24"/>
      <c r="H330" s="2"/>
      <c r="I330" s="2"/>
      <c r="J330" s="2"/>
      <c r="K330" s="2"/>
      <c r="L330" s="2"/>
      <c r="M330" s="2"/>
      <c r="N330" s="2"/>
      <c r="O330" s="7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7"/>
      <c r="D331" s="7"/>
      <c r="E331" s="2"/>
      <c r="F331" s="24"/>
      <c r="G331" s="24"/>
      <c r="H331" s="2"/>
      <c r="I331" s="2"/>
      <c r="J331" s="2"/>
      <c r="K331" s="2"/>
      <c r="L331" s="2"/>
      <c r="M331" s="2"/>
      <c r="N331" s="2"/>
      <c r="O331" s="7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7"/>
      <c r="D332" s="7"/>
      <c r="E332" s="2"/>
      <c r="F332" s="24"/>
      <c r="G332" s="24"/>
      <c r="H332" s="2"/>
      <c r="I332" s="2"/>
      <c r="J332" s="2"/>
      <c r="K332" s="2"/>
      <c r="L332" s="2"/>
      <c r="M332" s="2"/>
      <c r="N332" s="2"/>
      <c r="O332" s="7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7"/>
      <c r="D333" s="7"/>
      <c r="E333" s="2"/>
      <c r="F333" s="24"/>
      <c r="G333" s="24"/>
      <c r="H333" s="2"/>
      <c r="I333" s="2"/>
      <c r="J333" s="2"/>
      <c r="K333" s="2"/>
      <c r="L333" s="2"/>
      <c r="M333" s="2"/>
      <c r="N333" s="2"/>
      <c r="O333" s="7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7"/>
      <c r="D334" s="7"/>
      <c r="E334" s="2"/>
      <c r="F334" s="24"/>
      <c r="G334" s="24"/>
      <c r="H334" s="2"/>
      <c r="I334" s="2"/>
      <c r="J334" s="2"/>
      <c r="K334" s="2"/>
      <c r="L334" s="2"/>
      <c r="M334" s="2"/>
      <c r="N334" s="2"/>
      <c r="O334" s="7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7"/>
      <c r="D335" s="7"/>
      <c r="E335" s="2"/>
      <c r="F335" s="24"/>
      <c r="G335" s="24"/>
      <c r="H335" s="2"/>
      <c r="I335" s="2"/>
      <c r="J335" s="2"/>
      <c r="K335" s="2"/>
      <c r="L335" s="2"/>
      <c r="M335" s="2"/>
      <c r="N335" s="2"/>
      <c r="O335" s="7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7"/>
      <c r="D336" s="7"/>
      <c r="E336" s="2"/>
      <c r="F336" s="24"/>
      <c r="G336" s="24"/>
      <c r="H336" s="2"/>
      <c r="I336" s="2"/>
      <c r="J336" s="2"/>
      <c r="K336" s="2"/>
      <c r="L336" s="2"/>
      <c r="M336" s="2"/>
      <c r="N336" s="2"/>
      <c r="O336" s="7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7"/>
      <c r="D337" s="7"/>
      <c r="E337" s="2"/>
      <c r="F337" s="24"/>
      <c r="G337" s="24"/>
      <c r="H337" s="2"/>
      <c r="I337" s="2"/>
      <c r="J337" s="2"/>
      <c r="K337" s="2"/>
      <c r="L337" s="2"/>
      <c r="M337" s="2"/>
      <c r="N337" s="2"/>
      <c r="O337" s="7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7"/>
      <c r="D338" s="7"/>
      <c r="E338" s="2"/>
      <c r="F338" s="24"/>
      <c r="G338" s="24"/>
      <c r="H338" s="2"/>
      <c r="I338" s="2"/>
      <c r="J338" s="2"/>
      <c r="K338" s="2"/>
      <c r="L338" s="2"/>
      <c r="M338" s="2"/>
      <c r="N338" s="2"/>
      <c r="O338" s="7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7"/>
      <c r="D339" s="7"/>
      <c r="E339" s="2"/>
      <c r="F339" s="24"/>
      <c r="G339" s="24"/>
      <c r="H339" s="2"/>
      <c r="I339" s="2"/>
      <c r="J339" s="2"/>
      <c r="K339" s="2"/>
      <c r="L339" s="2"/>
      <c r="M339" s="2"/>
      <c r="N339" s="2"/>
      <c r="O339" s="7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7"/>
      <c r="D340" s="7"/>
      <c r="E340" s="2"/>
      <c r="F340" s="24"/>
      <c r="G340" s="24"/>
      <c r="H340" s="2"/>
      <c r="I340" s="2"/>
      <c r="J340" s="2"/>
      <c r="K340" s="2"/>
      <c r="L340" s="2"/>
      <c r="M340" s="2"/>
      <c r="N340" s="2"/>
      <c r="O340" s="7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7"/>
      <c r="D341" s="7"/>
      <c r="E341" s="2"/>
      <c r="F341" s="24"/>
      <c r="G341" s="24"/>
      <c r="H341" s="2"/>
      <c r="I341" s="2"/>
      <c r="J341" s="2"/>
      <c r="K341" s="2"/>
      <c r="L341" s="2"/>
      <c r="M341" s="2"/>
      <c r="N341" s="2"/>
      <c r="O341" s="7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7"/>
      <c r="D342" s="7"/>
      <c r="E342" s="2"/>
      <c r="F342" s="24"/>
      <c r="G342" s="24"/>
      <c r="H342" s="2"/>
      <c r="I342" s="2"/>
      <c r="J342" s="2"/>
      <c r="K342" s="2"/>
      <c r="L342" s="2"/>
      <c r="M342" s="2"/>
      <c r="N342" s="2"/>
      <c r="O342" s="7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7"/>
      <c r="D343" s="7"/>
      <c r="E343" s="2"/>
      <c r="F343" s="24"/>
      <c r="G343" s="24"/>
      <c r="H343" s="2"/>
      <c r="I343" s="2"/>
      <c r="J343" s="2"/>
      <c r="K343" s="2"/>
      <c r="L343" s="2"/>
      <c r="M343" s="2"/>
      <c r="N343" s="2"/>
      <c r="O343" s="7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7"/>
      <c r="D344" s="7"/>
      <c r="E344" s="2"/>
      <c r="F344" s="24"/>
      <c r="G344" s="24"/>
      <c r="H344" s="2"/>
      <c r="I344" s="2"/>
      <c r="J344" s="2"/>
      <c r="K344" s="2"/>
      <c r="L344" s="2"/>
      <c r="M344" s="2"/>
      <c r="N344" s="2"/>
      <c r="O344" s="7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7"/>
      <c r="D345" s="7"/>
      <c r="E345" s="2"/>
      <c r="F345" s="24"/>
      <c r="G345" s="24"/>
      <c r="H345" s="2"/>
      <c r="I345" s="2"/>
      <c r="J345" s="2"/>
      <c r="K345" s="2"/>
      <c r="L345" s="2"/>
      <c r="M345" s="2"/>
      <c r="N345" s="2"/>
      <c r="O345" s="7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7"/>
      <c r="D346" s="7"/>
      <c r="E346" s="2"/>
      <c r="F346" s="24"/>
      <c r="G346" s="24"/>
      <c r="H346" s="2"/>
      <c r="I346" s="2"/>
      <c r="J346" s="2"/>
      <c r="K346" s="2"/>
      <c r="L346" s="2"/>
      <c r="M346" s="2"/>
      <c r="N346" s="2"/>
      <c r="O346" s="7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7"/>
      <c r="D347" s="7"/>
      <c r="E347" s="2"/>
      <c r="F347" s="24"/>
      <c r="G347" s="24"/>
      <c r="H347" s="2"/>
      <c r="I347" s="2"/>
      <c r="J347" s="2"/>
      <c r="K347" s="2"/>
      <c r="L347" s="2"/>
      <c r="M347" s="2"/>
      <c r="N347" s="2"/>
      <c r="O347" s="7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7"/>
      <c r="D348" s="7"/>
      <c r="E348" s="2"/>
      <c r="F348" s="24"/>
      <c r="G348" s="24"/>
      <c r="H348" s="2"/>
      <c r="I348" s="2"/>
      <c r="J348" s="2"/>
      <c r="K348" s="2"/>
      <c r="L348" s="2"/>
      <c r="M348" s="2"/>
      <c r="N348" s="2"/>
      <c r="O348" s="7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7"/>
      <c r="D349" s="7"/>
      <c r="E349" s="2"/>
      <c r="F349" s="24"/>
      <c r="G349" s="24"/>
      <c r="H349" s="2"/>
      <c r="I349" s="2"/>
      <c r="J349" s="2"/>
      <c r="K349" s="2"/>
      <c r="L349" s="2"/>
      <c r="M349" s="2"/>
      <c r="N349" s="2"/>
      <c r="O349" s="7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7"/>
      <c r="D350" s="7"/>
      <c r="E350" s="2"/>
      <c r="F350" s="24"/>
      <c r="G350" s="24"/>
      <c r="H350" s="2"/>
      <c r="I350" s="2"/>
      <c r="J350" s="2"/>
      <c r="K350" s="2"/>
      <c r="L350" s="2"/>
      <c r="M350" s="2"/>
      <c r="N350" s="2"/>
      <c r="O350" s="7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7"/>
      <c r="D351" s="7"/>
      <c r="E351" s="2"/>
      <c r="F351" s="24"/>
      <c r="G351" s="24"/>
      <c r="H351" s="2"/>
      <c r="I351" s="2"/>
      <c r="J351" s="2"/>
      <c r="K351" s="2"/>
      <c r="L351" s="2"/>
      <c r="M351" s="2"/>
      <c r="N351" s="2"/>
      <c r="O351" s="7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7"/>
      <c r="D352" s="7"/>
      <c r="E352" s="2"/>
      <c r="F352" s="24"/>
      <c r="G352" s="24"/>
      <c r="H352" s="2"/>
      <c r="I352" s="2"/>
      <c r="J352" s="2"/>
      <c r="K352" s="2"/>
      <c r="L352" s="2"/>
      <c r="M352" s="2"/>
      <c r="N352" s="2"/>
      <c r="O352" s="7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7"/>
      <c r="D353" s="7"/>
      <c r="E353" s="2"/>
      <c r="F353" s="24"/>
      <c r="G353" s="24"/>
      <c r="H353" s="2"/>
      <c r="I353" s="2"/>
      <c r="J353" s="2"/>
      <c r="K353" s="2"/>
      <c r="L353" s="2"/>
      <c r="M353" s="2"/>
      <c r="N353" s="2"/>
      <c r="O353" s="7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7"/>
      <c r="D354" s="7"/>
      <c r="E354" s="2"/>
      <c r="F354" s="24"/>
      <c r="G354" s="24"/>
      <c r="H354" s="2"/>
      <c r="I354" s="2"/>
      <c r="J354" s="2"/>
      <c r="K354" s="2"/>
      <c r="L354" s="2"/>
      <c r="M354" s="2"/>
      <c r="N354" s="2"/>
      <c r="O354" s="7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7"/>
      <c r="D355" s="7"/>
      <c r="E355" s="2"/>
      <c r="F355" s="24"/>
      <c r="G355" s="24"/>
      <c r="H355" s="2"/>
      <c r="I355" s="2"/>
      <c r="J355" s="2"/>
      <c r="K355" s="2"/>
      <c r="L355" s="2"/>
      <c r="M355" s="2"/>
      <c r="N355" s="2"/>
      <c r="O355" s="7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7"/>
      <c r="D356" s="7"/>
      <c r="E356" s="2"/>
      <c r="F356" s="24"/>
      <c r="G356" s="24"/>
      <c r="H356" s="2"/>
      <c r="I356" s="2"/>
      <c r="J356" s="2"/>
      <c r="K356" s="2"/>
      <c r="L356" s="2"/>
      <c r="M356" s="2"/>
      <c r="N356" s="2"/>
      <c r="O356" s="7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7"/>
      <c r="D357" s="7"/>
      <c r="E357" s="2"/>
      <c r="F357" s="24"/>
      <c r="G357" s="24"/>
      <c r="H357" s="2"/>
      <c r="I357" s="2"/>
      <c r="J357" s="2"/>
      <c r="K357" s="2"/>
      <c r="L357" s="2"/>
      <c r="M357" s="2"/>
      <c r="N357" s="2"/>
      <c r="O357" s="7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7"/>
      <c r="D358" s="7"/>
      <c r="E358" s="2"/>
      <c r="F358" s="24"/>
      <c r="G358" s="24"/>
      <c r="H358" s="2"/>
      <c r="I358" s="2"/>
      <c r="J358" s="2"/>
      <c r="K358" s="2"/>
      <c r="L358" s="2"/>
      <c r="M358" s="2"/>
      <c r="N358" s="2"/>
      <c r="O358" s="7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7"/>
      <c r="D359" s="7"/>
      <c r="E359" s="2"/>
      <c r="F359" s="24"/>
      <c r="G359" s="24"/>
      <c r="H359" s="2"/>
      <c r="I359" s="2"/>
      <c r="J359" s="2"/>
      <c r="K359" s="2"/>
      <c r="L359" s="2"/>
      <c r="M359" s="2"/>
      <c r="N359" s="2"/>
      <c r="O359" s="7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7"/>
      <c r="D360" s="7"/>
      <c r="E360" s="2"/>
      <c r="F360" s="24"/>
      <c r="G360" s="24"/>
      <c r="H360" s="2"/>
      <c r="I360" s="2"/>
      <c r="J360" s="2"/>
      <c r="K360" s="2"/>
      <c r="L360" s="2"/>
      <c r="M360" s="2"/>
      <c r="N360" s="2"/>
      <c r="O360" s="7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7"/>
      <c r="D361" s="7"/>
      <c r="E361" s="2"/>
      <c r="F361" s="24"/>
      <c r="G361" s="24"/>
      <c r="H361" s="2"/>
      <c r="I361" s="2"/>
      <c r="J361" s="2"/>
      <c r="K361" s="2"/>
      <c r="L361" s="2"/>
      <c r="M361" s="2"/>
      <c r="N361" s="2"/>
      <c r="O361" s="7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7"/>
      <c r="D362" s="7"/>
      <c r="E362" s="2"/>
      <c r="F362" s="24"/>
      <c r="G362" s="24"/>
      <c r="H362" s="2"/>
      <c r="I362" s="2"/>
      <c r="J362" s="2"/>
      <c r="K362" s="2"/>
      <c r="L362" s="2"/>
      <c r="M362" s="2"/>
      <c r="N362" s="2"/>
      <c r="O362" s="7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7"/>
      <c r="D363" s="7"/>
      <c r="E363" s="2"/>
      <c r="F363" s="24"/>
      <c r="G363" s="24"/>
      <c r="H363" s="2"/>
      <c r="I363" s="2"/>
      <c r="J363" s="2"/>
      <c r="K363" s="2"/>
      <c r="L363" s="2"/>
      <c r="M363" s="2"/>
      <c r="N363" s="2"/>
      <c r="O363" s="7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7"/>
      <c r="D364" s="7"/>
      <c r="E364" s="2"/>
      <c r="F364" s="24"/>
      <c r="G364" s="24"/>
      <c r="H364" s="2"/>
      <c r="I364" s="2"/>
      <c r="J364" s="2"/>
      <c r="K364" s="2"/>
      <c r="L364" s="2"/>
      <c r="M364" s="2"/>
      <c r="N364" s="2"/>
      <c r="O364" s="7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7"/>
      <c r="D365" s="7"/>
      <c r="E365" s="2"/>
      <c r="F365" s="24"/>
      <c r="G365" s="24"/>
      <c r="H365" s="2"/>
      <c r="I365" s="2"/>
      <c r="J365" s="2"/>
      <c r="K365" s="2"/>
      <c r="L365" s="2"/>
      <c r="M365" s="2"/>
      <c r="N365" s="2"/>
      <c r="O365" s="7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7"/>
      <c r="D366" s="7"/>
      <c r="E366" s="2"/>
      <c r="F366" s="24"/>
      <c r="G366" s="24"/>
      <c r="H366" s="2"/>
      <c r="I366" s="2"/>
      <c r="J366" s="2"/>
      <c r="K366" s="2"/>
      <c r="L366" s="2"/>
      <c r="M366" s="2"/>
      <c r="N366" s="2"/>
      <c r="O366" s="7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7"/>
      <c r="D367" s="7"/>
      <c r="E367" s="2"/>
      <c r="F367" s="24"/>
      <c r="G367" s="24"/>
      <c r="H367" s="2"/>
      <c r="I367" s="2"/>
      <c r="J367" s="2"/>
      <c r="K367" s="2"/>
      <c r="L367" s="2"/>
      <c r="M367" s="2"/>
      <c r="N367" s="2"/>
      <c r="O367" s="7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7"/>
      <c r="D368" s="7"/>
      <c r="E368" s="2"/>
      <c r="F368" s="24"/>
      <c r="G368" s="24"/>
      <c r="H368" s="2"/>
      <c r="I368" s="2"/>
      <c r="J368" s="2"/>
      <c r="K368" s="2"/>
      <c r="L368" s="2"/>
      <c r="M368" s="2"/>
      <c r="N368" s="2"/>
      <c r="O368" s="7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7"/>
      <c r="D369" s="7"/>
      <c r="E369" s="2"/>
      <c r="F369" s="24"/>
      <c r="G369" s="24"/>
      <c r="H369" s="2"/>
      <c r="I369" s="2"/>
      <c r="J369" s="2"/>
      <c r="K369" s="2"/>
      <c r="L369" s="2"/>
      <c r="M369" s="2"/>
      <c r="N369" s="2"/>
      <c r="O369" s="7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7"/>
      <c r="D370" s="7"/>
      <c r="E370" s="2"/>
      <c r="F370" s="24"/>
      <c r="G370" s="24"/>
      <c r="H370" s="2"/>
      <c r="I370" s="2"/>
      <c r="J370" s="2"/>
      <c r="K370" s="2"/>
      <c r="L370" s="2"/>
      <c r="M370" s="2"/>
      <c r="N370" s="2"/>
      <c r="O370" s="7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7"/>
      <c r="D371" s="7"/>
      <c r="E371" s="2"/>
      <c r="F371" s="24"/>
      <c r="G371" s="24"/>
      <c r="H371" s="2"/>
      <c r="I371" s="2"/>
      <c r="J371" s="2"/>
      <c r="K371" s="2"/>
      <c r="L371" s="2"/>
      <c r="M371" s="2"/>
      <c r="N371" s="2"/>
      <c r="O371" s="7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7"/>
      <c r="D372" s="7"/>
      <c r="E372" s="2"/>
      <c r="F372" s="24"/>
      <c r="G372" s="24"/>
      <c r="H372" s="2"/>
      <c r="I372" s="2"/>
      <c r="J372" s="2"/>
      <c r="K372" s="2"/>
      <c r="L372" s="2"/>
      <c r="M372" s="2"/>
      <c r="N372" s="2"/>
      <c r="O372" s="7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7"/>
      <c r="D373" s="7"/>
      <c r="E373" s="2"/>
      <c r="F373" s="24"/>
      <c r="G373" s="24"/>
      <c r="H373" s="2"/>
      <c r="I373" s="2"/>
      <c r="J373" s="2"/>
      <c r="K373" s="2"/>
      <c r="L373" s="2"/>
      <c r="M373" s="2"/>
      <c r="N373" s="2"/>
      <c r="O373" s="7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7"/>
      <c r="D374" s="7"/>
      <c r="E374" s="2"/>
      <c r="F374" s="24"/>
      <c r="G374" s="24"/>
      <c r="H374" s="2"/>
      <c r="I374" s="2"/>
      <c r="J374" s="2"/>
      <c r="K374" s="2"/>
      <c r="L374" s="2"/>
      <c r="M374" s="2"/>
      <c r="N374" s="2"/>
      <c r="O374" s="7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7"/>
      <c r="D375" s="7"/>
      <c r="E375" s="2"/>
      <c r="F375" s="24"/>
      <c r="G375" s="24"/>
      <c r="H375" s="2"/>
      <c r="I375" s="2"/>
      <c r="J375" s="2"/>
      <c r="K375" s="2"/>
      <c r="L375" s="2"/>
      <c r="M375" s="2"/>
      <c r="N375" s="2"/>
      <c r="O375" s="7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7"/>
      <c r="D376" s="7"/>
      <c r="E376" s="2"/>
      <c r="F376" s="24"/>
      <c r="G376" s="24"/>
      <c r="H376" s="2"/>
      <c r="I376" s="2"/>
      <c r="J376" s="2"/>
      <c r="K376" s="2"/>
      <c r="L376" s="2"/>
      <c r="M376" s="2"/>
      <c r="N376" s="2"/>
      <c r="O376" s="7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7"/>
      <c r="D377" s="7"/>
      <c r="E377" s="2"/>
      <c r="F377" s="24"/>
      <c r="G377" s="24"/>
      <c r="H377" s="2"/>
      <c r="I377" s="2"/>
      <c r="J377" s="2"/>
      <c r="K377" s="2"/>
      <c r="L377" s="2"/>
      <c r="M377" s="2"/>
      <c r="N377" s="2"/>
      <c r="O377" s="7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7"/>
      <c r="D378" s="7"/>
      <c r="E378" s="2"/>
      <c r="F378" s="24"/>
      <c r="G378" s="24"/>
      <c r="H378" s="2"/>
      <c r="I378" s="2"/>
      <c r="J378" s="2"/>
      <c r="K378" s="2"/>
      <c r="L378" s="2"/>
      <c r="M378" s="2"/>
      <c r="N378" s="2"/>
      <c r="O378" s="7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7"/>
      <c r="D379" s="7"/>
      <c r="E379" s="2"/>
      <c r="F379" s="24"/>
      <c r="G379" s="24"/>
      <c r="H379" s="2"/>
      <c r="I379" s="2"/>
      <c r="J379" s="2"/>
      <c r="K379" s="2"/>
      <c r="L379" s="2"/>
      <c r="M379" s="2"/>
      <c r="N379" s="2"/>
      <c r="O379" s="7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7"/>
      <c r="D380" s="7"/>
      <c r="E380" s="2"/>
      <c r="F380" s="24"/>
      <c r="G380" s="24"/>
      <c r="H380" s="2"/>
      <c r="I380" s="2"/>
      <c r="J380" s="2"/>
      <c r="K380" s="2"/>
      <c r="L380" s="2"/>
      <c r="M380" s="2"/>
      <c r="N380" s="2"/>
      <c r="O380" s="7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7"/>
      <c r="D381" s="7"/>
      <c r="E381" s="2"/>
      <c r="F381" s="24"/>
      <c r="G381" s="24"/>
      <c r="H381" s="2"/>
      <c r="I381" s="2"/>
      <c r="J381" s="2"/>
      <c r="K381" s="2"/>
      <c r="L381" s="2"/>
      <c r="M381" s="2"/>
      <c r="N381" s="2"/>
      <c r="O381" s="7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7"/>
      <c r="D382" s="7"/>
      <c r="E382" s="2"/>
      <c r="F382" s="24"/>
      <c r="G382" s="24"/>
      <c r="H382" s="2"/>
      <c r="I382" s="2"/>
      <c r="J382" s="2"/>
      <c r="K382" s="2"/>
      <c r="L382" s="2"/>
      <c r="M382" s="2"/>
      <c r="N382" s="2"/>
      <c r="O382" s="7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7"/>
      <c r="D383" s="7"/>
      <c r="E383" s="2"/>
      <c r="F383" s="24"/>
      <c r="G383" s="24"/>
      <c r="H383" s="2"/>
      <c r="I383" s="2"/>
      <c r="J383" s="2"/>
      <c r="K383" s="2"/>
      <c r="L383" s="2"/>
      <c r="M383" s="2"/>
      <c r="N383" s="2"/>
      <c r="O383" s="7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7"/>
      <c r="D384" s="7"/>
      <c r="E384" s="2"/>
      <c r="F384" s="24"/>
      <c r="G384" s="24"/>
      <c r="H384" s="2"/>
      <c r="I384" s="2"/>
      <c r="J384" s="2"/>
      <c r="K384" s="2"/>
      <c r="L384" s="2"/>
      <c r="M384" s="2"/>
      <c r="N384" s="2"/>
      <c r="O384" s="7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7"/>
      <c r="D385" s="7"/>
      <c r="E385" s="2"/>
      <c r="F385" s="24"/>
      <c r="G385" s="24"/>
      <c r="H385" s="2"/>
      <c r="I385" s="2"/>
      <c r="J385" s="2"/>
      <c r="K385" s="2"/>
      <c r="L385" s="2"/>
      <c r="M385" s="2"/>
      <c r="N385" s="2"/>
      <c r="O385" s="7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7"/>
      <c r="D386" s="7"/>
      <c r="E386" s="2"/>
      <c r="F386" s="24"/>
      <c r="G386" s="24"/>
      <c r="H386" s="2"/>
      <c r="I386" s="2"/>
      <c r="J386" s="2"/>
      <c r="K386" s="2"/>
      <c r="L386" s="2"/>
      <c r="M386" s="2"/>
      <c r="N386" s="2"/>
      <c r="O386" s="7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7"/>
      <c r="D387" s="7"/>
      <c r="E387" s="2"/>
      <c r="F387" s="24"/>
      <c r="G387" s="24"/>
      <c r="H387" s="2"/>
      <c r="I387" s="2"/>
      <c r="J387" s="2"/>
      <c r="K387" s="2"/>
      <c r="L387" s="2"/>
      <c r="M387" s="2"/>
      <c r="N387" s="2"/>
      <c r="O387" s="7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7"/>
      <c r="D388" s="7"/>
      <c r="E388" s="2"/>
      <c r="F388" s="24"/>
      <c r="G388" s="24"/>
      <c r="H388" s="2"/>
      <c r="I388" s="2"/>
      <c r="J388" s="2"/>
      <c r="K388" s="2"/>
      <c r="L388" s="2"/>
      <c r="M388" s="2"/>
      <c r="N388" s="2"/>
      <c r="O388" s="7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7"/>
      <c r="D389" s="7"/>
      <c r="E389" s="2"/>
      <c r="F389" s="24"/>
      <c r="G389" s="24"/>
      <c r="H389" s="2"/>
      <c r="I389" s="2"/>
      <c r="J389" s="2"/>
      <c r="K389" s="2"/>
      <c r="L389" s="2"/>
      <c r="M389" s="2"/>
      <c r="N389" s="2"/>
      <c r="O389" s="7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7"/>
      <c r="D390" s="7"/>
      <c r="E390" s="2"/>
      <c r="F390" s="24"/>
      <c r="G390" s="24"/>
      <c r="H390" s="2"/>
      <c r="I390" s="2"/>
      <c r="J390" s="2"/>
      <c r="K390" s="2"/>
      <c r="L390" s="2"/>
      <c r="M390" s="2"/>
      <c r="N390" s="2"/>
      <c r="O390" s="7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7"/>
      <c r="D391" s="7"/>
      <c r="E391" s="2"/>
      <c r="F391" s="24"/>
      <c r="G391" s="24"/>
      <c r="H391" s="2"/>
      <c r="I391" s="2"/>
      <c r="J391" s="2"/>
      <c r="K391" s="2"/>
      <c r="L391" s="2"/>
      <c r="M391" s="2"/>
      <c r="N391" s="2"/>
      <c r="O391" s="7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7"/>
      <c r="D392" s="7"/>
      <c r="E392" s="2"/>
      <c r="F392" s="24"/>
      <c r="G392" s="24"/>
      <c r="H392" s="2"/>
      <c r="I392" s="2"/>
      <c r="J392" s="2"/>
      <c r="K392" s="2"/>
      <c r="L392" s="2"/>
      <c r="M392" s="2"/>
      <c r="N392" s="2"/>
      <c r="O392" s="7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7"/>
      <c r="D393" s="7"/>
      <c r="E393" s="2"/>
      <c r="F393" s="24"/>
      <c r="G393" s="24"/>
      <c r="H393" s="2"/>
      <c r="I393" s="2"/>
      <c r="J393" s="2"/>
      <c r="K393" s="2"/>
      <c r="L393" s="2"/>
      <c r="M393" s="2"/>
      <c r="N393" s="2"/>
      <c r="O393" s="7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7"/>
      <c r="D394" s="7"/>
      <c r="E394" s="2"/>
      <c r="F394" s="24"/>
      <c r="G394" s="24"/>
      <c r="H394" s="2"/>
      <c r="I394" s="2"/>
      <c r="J394" s="2"/>
      <c r="K394" s="2"/>
      <c r="L394" s="2"/>
      <c r="M394" s="2"/>
      <c r="N394" s="2"/>
      <c r="O394" s="7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7"/>
      <c r="D395" s="7"/>
      <c r="E395" s="2"/>
      <c r="F395" s="24"/>
      <c r="G395" s="24"/>
      <c r="H395" s="2"/>
      <c r="I395" s="2"/>
      <c r="J395" s="2"/>
      <c r="K395" s="2"/>
      <c r="L395" s="2"/>
      <c r="M395" s="2"/>
      <c r="N395" s="2"/>
      <c r="O395" s="7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7"/>
      <c r="D396" s="7"/>
      <c r="E396" s="2"/>
      <c r="F396" s="24"/>
      <c r="G396" s="24"/>
      <c r="H396" s="2"/>
      <c r="I396" s="2"/>
      <c r="J396" s="2"/>
      <c r="K396" s="2"/>
      <c r="L396" s="2"/>
      <c r="M396" s="2"/>
      <c r="N396" s="2"/>
      <c r="O396" s="7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7"/>
      <c r="D397" s="7"/>
      <c r="E397" s="2"/>
      <c r="F397" s="24"/>
      <c r="G397" s="24"/>
      <c r="H397" s="2"/>
      <c r="I397" s="2"/>
      <c r="J397" s="2"/>
      <c r="K397" s="2"/>
      <c r="L397" s="2"/>
      <c r="M397" s="2"/>
      <c r="N397" s="2"/>
      <c r="O397" s="7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7"/>
      <c r="D398" s="7"/>
      <c r="E398" s="2"/>
      <c r="F398" s="24"/>
      <c r="G398" s="24"/>
      <c r="H398" s="2"/>
      <c r="I398" s="2"/>
      <c r="J398" s="2"/>
      <c r="K398" s="2"/>
      <c r="L398" s="2"/>
      <c r="M398" s="2"/>
      <c r="N398" s="2"/>
      <c r="O398" s="7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7"/>
      <c r="D399" s="7"/>
      <c r="E399" s="2"/>
      <c r="F399" s="24"/>
      <c r="G399" s="24"/>
      <c r="H399" s="2"/>
      <c r="I399" s="2"/>
      <c r="J399" s="2"/>
      <c r="K399" s="2"/>
      <c r="L399" s="2"/>
      <c r="M399" s="2"/>
      <c r="N399" s="2"/>
      <c r="O399" s="7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7"/>
      <c r="D400" s="7"/>
      <c r="E400" s="2"/>
      <c r="F400" s="24"/>
      <c r="G400" s="24"/>
      <c r="H400" s="2"/>
      <c r="I400" s="2"/>
      <c r="J400" s="2"/>
      <c r="K400" s="2"/>
      <c r="L400" s="2"/>
      <c r="M400" s="2"/>
      <c r="N400" s="2"/>
      <c r="O400" s="7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7"/>
      <c r="D401" s="7"/>
      <c r="E401" s="2"/>
      <c r="F401" s="24"/>
      <c r="G401" s="24"/>
      <c r="H401" s="2"/>
      <c r="I401" s="2"/>
      <c r="J401" s="2"/>
      <c r="K401" s="2"/>
      <c r="L401" s="2"/>
      <c r="M401" s="2"/>
      <c r="N401" s="2"/>
      <c r="O401" s="7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7"/>
      <c r="D402" s="7"/>
      <c r="E402" s="2"/>
      <c r="F402" s="24"/>
      <c r="G402" s="24"/>
      <c r="H402" s="2"/>
      <c r="I402" s="2"/>
      <c r="J402" s="2"/>
      <c r="K402" s="2"/>
      <c r="L402" s="2"/>
      <c r="M402" s="2"/>
      <c r="N402" s="2"/>
      <c r="O402" s="7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7"/>
      <c r="D403" s="7"/>
      <c r="E403" s="2"/>
      <c r="F403" s="24"/>
      <c r="G403" s="24"/>
      <c r="H403" s="2"/>
      <c r="I403" s="2"/>
      <c r="J403" s="2"/>
      <c r="K403" s="2"/>
      <c r="L403" s="2"/>
      <c r="M403" s="2"/>
      <c r="N403" s="2"/>
      <c r="O403" s="7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7"/>
      <c r="D404" s="7"/>
      <c r="E404" s="2"/>
      <c r="F404" s="24"/>
      <c r="G404" s="24"/>
      <c r="H404" s="2"/>
      <c r="I404" s="2"/>
      <c r="J404" s="2"/>
      <c r="K404" s="2"/>
      <c r="L404" s="2"/>
      <c r="M404" s="2"/>
      <c r="N404" s="2"/>
      <c r="O404" s="7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7"/>
      <c r="D405" s="7"/>
      <c r="E405" s="2"/>
      <c r="F405" s="24"/>
      <c r="G405" s="24"/>
      <c r="H405" s="2"/>
      <c r="I405" s="2"/>
      <c r="J405" s="2"/>
      <c r="K405" s="2"/>
      <c r="L405" s="2"/>
      <c r="M405" s="2"/>
      <c r="N405" s="2"/>
      <c r="O405" s="7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7"/>
      <c r="D406" s="7"/>
      <c r="E406" s="2"/>
      <c r="F406" s="24"/>
      <c r="G406" s="24"/>
      <c r="H406" s="2"/>
      <c r="I406" s="2"/>
      <c r="J406" s="2"/>
      <c r="K406" s="2"/>
      <c r="L406" s="2"/>
      <c r="M406" s="2"/>
      <c r="N406" s="2"/>
      <c r="O406" s="7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7"/>
      <c r="D407" s="7"/>
      <c r="E407" s="2"/>
      <c r="F407" s="24"/>
      <c r="G407" s="24"/>
      <c r="H407" s="2"/>
      <c r="I407" s="2"/>
      <c r="J407" s="2"/>
      <c r="K407" s="2"/>
      <c r="L407" s="2"/>
      <c r="M407" s="2"/>
      <c r="N407" s="2"/>
      <c r="O407" s="7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7"/>
      <c r="D408" s="7"/>
      <c r="E408" s="2"/>
      <c r="F408" s="24"/>
      <c r="G408" s="24"/>
      <c r="H408" s="2"/>
      <c r="I408" s="2"/>
      <c r="J408" s="2"/>
      <c r="K408" s="2"/>
      <c r="L408" s="2"/>
      <c r="M408" s="2"/>
      <c r="N408" s="2"/>
      <c r="O408" s="7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7"/>
      <c r="D409" s="7"/>
      <c r="E409" s="2"/>
      <c r="F409" s="24"/>
      <c r="G409" s="24"/>
      <c r="H409" s="2"/>
      <c r="I409" s="2"/>
      <c r="J409" s="2"/>
      <c r="K409" s="2"/>
      <c r="L409" s="2"/>
      <c r="M409" s="2"/>
      <c r="N409" s="2"/>
      <c r="O409" s="7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7"/>
      <c r="D410" s="7"/>
      <c r="E410" s="2"/>
      <c r="F410" s="24"/>
      <c r="G410" s="24"/>
      <c r="H410" s="2"/>
      <c r="I410" s="2"/>
      <c r="J410" s="2"/>
      <c r="K410" s="2"/>
      <c r="L410" s="2"/>
      <c r="M410" s="2"/>
      <c r="N410" s="2"/>
      <c r="O410" s="7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7"/>
      <c r="D411" s="7"/>
      <c r="E411" s="2"/>
      <c r="F411" s="24"/>
      <c r="G411" s="24"/>
      <c r="H411" s="2"/>
      <c r="I411" s="2"/>
      <c r="J411" s="2"/>
      <c r="K411" s="2"/>
      <c r="L411" s="2"/>
      <c r="M411" s="2"/>
      <c r="N411" s="2"/>
      <c r="O411" s="7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7"/>
      <c r="D412" s="7"/>
      <c r="E412" s="2"/>
      <c r="F412" s="24"/>
      <c r="G412" s="24"/>
      <c r="H412" s="2"/>
      <c r="I412" s="2"/>
      <c r="J412" s="2"/>
      <c r="K412" s="2"/>
      <c r="L412" s="2"/>
      <c r="M412" s="2"/>
      <c r="N412" s="2"/>
      <c r="O412" s="7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7"/>
      <c r="D413" s="7"/>
      <c r="E413" s="2"/>
      <c r="F413" s="24"/>
      <c r="G413" s="24"/>
      <c r="H413" s="2"/>
      <c r="I413" s="2"/>
      <c r="J413" s="2"/>
      <c r="K413" s="2"/>
      <c r="L413" s="2"/>
      <c r="M413" s="2"/>
      <c r="N413" s="2"/>
      <c r="O413" s="7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7"/>
      <c r="D414" s="7"/>
      <c r="E414" s="2"/>
      <c r="F414" s="24"/>
      <c r="G414" s="24"/>
      <c r="H414" s="2"/>
      <c r="I414" s="2"/>
      <c r="J414" s="2"/>
      <c r="K414" s="2"/>
      <c r="L414" s="2"/>
      <c r="M414" s="2"/>
      <c r="N414" s="2"/>
      <c r="O414" s="7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7"/>
      <c r="D415" s="7"/>
      <c r="E415" s="2"/>
      <c r="F415" s="24"/>
      <c r="G415" s="24"/>
      <c r="H415" s="2"/>
      <c r="I415" s="2"/>
      <c r="J415" s="2"/>
      <c r="K415" s="2"/>
      <c r="L415" s="2"/>
      <c r="M415" s="2"/>
      <c r="N415" s="2"/>
      <c r="O415" s="7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7"/>
      <c r="D416" s="7"/>
      <c r="E416" s="2"/>
      <c r="F416" s="24"/>
      <c r="G416" s="24"/>
      <c r="H416" s="2"/>
      <c r="I416" s="2"/>
      <c r="J416" s="2"/>
      <c r="K416" s="2"/>
      <c r="L416" s="2"/>
      <c r="M416" s="2"/>
      <c r="N416" s="2"/>
      <c r="O416" s="7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7"/>
      <c r="D417" s="7"/>
      <c r="E417" s="2"/>
      <c r="F417" s="24"/>
      <c r="G417" s="24"/>
      <c r="H417" s="2"/>
      <c r="I417" s="2"/>
      <c r="J417" s="2"/>
      <c r="K417" s="2"/>
      <c r="L417" s="2"/>
      <c r="M417" s="2"/>
      <c r="N417" s="2"/>
      <c r="O417" s="7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7"/>
      <c r="D418" s="7"/>
      <c r="E418" s="2"/>
      <c r="F418" s="24"/>
      <c r="G418" s="24"/>
      <c r="H418" s="2"/>
      <c r="I418" s="2"/>
      <c r="J418" s="2"/>
      <c r="K418" s="2"/>
      <c r="L418" s="2"/>
      <c r="M418" s="2"/>
      <c r="N418" s="2"/>
      <c r="O418" s="7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7"/>
      <c r="D419" s="7"/>
      <c r="E419" s="2"/>
      <c r="F419" s="24"/>
      <c r="G419" s="24"/>
      <c r="H419" s="2"/>
      <c r="I419" s="2"/>
      <c r="J419" s="2"/>
      <c r="K419" s="2"/>
      <c r="L419" s="2"/>
      <c r="M419" s="2"/>
      <c r="N419" s="2"/>
      <c r="O419" s="7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7"/>
      <c r="D420" s="7"/>
      <c r="E420" s="2"/>
      <c r="F420" s="24"/>
      <c r="G420" s="24"/>
      <c r="H420" s="2"/>
      <c r="I420" s="2"/>
      <c r="J420" s="2"/>
      <c r="K420" s="2"/>
      <c r="L420" s="2"/>
      <c r="M420" s="2"/>
      <c r="N420" s="2"/>
      <c r="O420" s="7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7"/>
      <c r="D421" s="7"/>
      <c r="E421" s="2"/>
      <c r="F421" s="24"/>
      <c r="G421" s="24"/>
      <c r="H421" s="2"/>
      <c r="I421" s="2"/>
      <c r="J421" s="2"/>
      <c r="K421" s="2"/>
      <c r="L421" s="2"/>
      <c r="M421" s="2"/>
      <c r="N421" s="2"/>
      <c r="O421" s="7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7"/>
      <c r="D422" s="7"/>
      <c r="E422" s="2"/>
      <c r="F422" s="24"/>
      <c r="G422" s="24"/>
      <c r="H422" s="2"/>
      <c r="I422" s="2"/>
      <c r="J422" s="2"/>
      <c r="K422" s="2"/>
      <c r="L422" s="2"/>
      <c r="M422" s="2"/>
      <c r="N422" s="2"/>
      <c r="O422" s="7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7"/>
      <c r="D423" s="7"/>
      <c r="E423" s="2"/>
      <c r="F423" s="24"/>
      <c r="G423" s="24"/>
      <c r="H423" s="2"/>
      <c r="I423" s="2"/>
      <c r="J423" s="2"/>
      <c r="K423" s="2"/>
      <c r="L423" s="2"/>
      <c r="M423" s="2"/>
      <c r="N423" s="2"/>
      <c r="O423" s="7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7"/>
      <c r="D424" s="7"/>
      <c r="E424" s="2"/>
      <c r="F424" s="24"/>
      <c r="G424" s="24"/>
      <c r="H424" s="2"/>
      <c r="I424" s="2"/>
      <c r="J424" s="2"/>
      <c r="K424" s="2"/>
      <c r="L424" s="2"/>
      <c r="M424" s="2"/>
      <c r="N424" s="2"/>
      <c r="O424" s="7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7"/>
      <c r="D425" s="7"/>
      <c r="E425" s="2"/>
      <c r="F425" s="24"/>
      <c r="G425" s="24"/>
      <c r="H425" s="2"/>
      <c r="I425" s="2"/>
      <c r="J425" s="2"/>
      <c r="K425" s="2"/>
      <c r="L425" s="2"/>
      <c r="M425" s="2"/>
      <c r="N425" s="2"/>
      <c r="O425" s="7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7"/>
      <c r="D426" s="7"/>
      <c r="E426" s="2"/>
      <c r="F426" s="24"/>
      <c r="G426" s="24"/>
      <c r="H426" s="2"/>
      <c r="I426" s="2"/>
      <c r="J426" s="2"/>
      <c r="K426" s="2"/>
      <c r="L426" s="2"/>
      <c r="M426" s="2"/>
      <c r="N426" s="2"/>
      <c r="O426" s="7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7"/>
      <c r="D427" s="7"/>
      <c r="E427" s="2"/>
      <c r="F427" s="24"/>
      <c r="G427" s="24"/>
      <c r="H427" s="2"/>
      <c r="I427" s="2"/>
      <c r="J427" s="2"/>
      <c r="K427" s="2"/>
      <c r="L427" s="2"/>
      <c r="M427" s="2"/>
      <c r="N427" s="2"/>
      <c r="O427" s="7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7"/>
      <c r="D428" s="7"/>
      <c r="E428" s="2"/>
      <c r="F428" s="24"/>
      <c r="G428" s="24"/>
      <c r="H428" s="2"/>
      <c r="I428" s="2"/>
      <c r="J428" s="2"/>
      <c r="K428" s="2"/>
      <c r="L428" s="2"/>
      <c r="M428" s="2"/>
      <c r="N428" s="2"/>
      <c r="O428" s="7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7"/>
      <c r="D429" s="7"/>
      <c r="E429" s="2"/>
      <c r="F429" s="24"/>
      <c r="G429" s="24"/>
      <c r="H429" s="2"/>
      <c r="I429" s="2"/>
      <c r="J429" s="2"/>
      <c r="K429" s="2"/>
      <c r="L429" s="2"/>
      <c r="M429" s="2"/>
      <c r="N429" s="2"/>
      <c r="O429" s="7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7"/>
      <c r="D430" s="7"/>
      <c r="E430" s="2"/>
      <c r="F430" s="24"/>
      <c r="G430" s="24"/>
      <c r="H430" s="2"/>
      <c r="I430" s="2"/>
      <c r="J430" s="2"/>
      <c r="K430" s="2"/>
      <c r="L430" s="2"/>
      <c r="M430" s="2"/>
      <c r="N430" s="2"/>
      <c r="O430" s="7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7"/>
      <c r="D431" s="7"/>
      <c r="E431" s="2"/>
      <c r="F431" s="24"/>
      <c r="G431" s="24"/>
      <c r="H431" s="2"/>
      <c r="I431" s="2"/>
      <c r="J431" s="2"/>
      <c r="K431" s="2"/>
      <c r="L431" s="2"/>
      <c r="M431" s="2"/>
      <c r="N431" s="2"/>
      <c r="O431" s="7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7"/>
      <c r="D432" s="7"/>
      <c r="E432" s="2"/>
      <c r="F432" s="24"/>
      <c r="G432" s="24"/>
      <c r="H432" s="2"/>
      <c r="I432" s="2"/>
      <c r="J432" s="2"/>
      <c r="K432" s="2"/>
      <c r="L432" s="2"/>
      <c r="M432" s="2"/>
      <c r="N432" s="2"/>
      <c r="O432" s="7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7"/>
      <c r="D433" s="7"/>
      <c r="E433" s="2"/>
      <c r="F433" s="24"/>
      <c r="G433" s="24"/>
      <c r="H433" s="2"/>
      <c r="I433" s="2"/>
      <c r="J433" s="2"/>
      <c r="K433" s="2"/>
      <c r="L433" s="2"/>
      <c r="M433" s="2"/>
      <c r="N433" s="2"/>
      <c r="O433" s="7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7"/>
      <c r="D434" s="7"/>
      <c r="E434" s="2"/>
      <c r="F434" s="24"/>
      <c r="G434" s="24"/>
      <c r="H434" s="2"/>
      <c r="I434" s="2"/>
      <c r="J434" s="2"/>
      <c r="K434" s="2"/>
      <c r="L434" s="2"/>
      <c r="M434" s="2"/>
      <c r="N434" s="2"/>
      <c r="O434" s="7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7"/>
      <c r="D435" s="7"/>
      <c r="E435" s="2"/>
      <c r="F435" s="24"/>
      <c r="G435" s="24"/>
      <c r="H435" s="2"/>
      <c r="I435" s="2"/>
      <c r="J435" s="2"/>
      <c r="K435" s="2"/>
      <c r="L435" s="2"/>
      <c r="M435" s="2"/>
      <c r="N435" s="2"/>
      <c r="O435" s="7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7"/>
      <c r="D436" s="7"/>
      <c r="E436" s="2"/>
      <c r="F436" s="24"/>
      <c r="G436" s="24"/>
      <c r="H436" s="2"/>
      <c r="I436" s="2"/>
      <c r="J436" s="2"/>
      <c r="K436" s="2"/>
      <c r="L436" s="2"/>
      <c r="M436" s="2"/>
      <c r="N436" s="2"/>
      <c r="O436" s="7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7"/>
      <c r="D437" s="7"/>
      <c r="E437" s="2"/>
      <c r="F437" s="24"/>
      <c r="G437" s="24"/>
      <c r="H437" s="2"/>
      <c r="I437" s="2"/>
      <c r="J437" s="2"/>
      <c r="K437" s="2"/>
      <c r="L437" s="2"/>
      <c r="M437" s="2"/>
      <c r="N437" s="2"/>
      <c r="O437" s="7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7"/>
      <c r="D438" s="7"/>
      <c r="E438" s="2"/>
      <c r="F438" s="24"/>
      <c r="G438" s="24"/>
      <c r="H438" s="2"/>
      <c r="I438" s="2"/>
      <c r="J438" s="2"/>
      <c r="K438" s="2"/>
      <c r="L438" s="2"/>
      <c r="M438" s="2"/>
      <c r="N438" s="2"/>
      <c r="O438" s="7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7"/>
      <c r="D439" s="7"/>
      <c r="E439" s="2"/>
      <c r="F439" s="24"/>
      <c r="G439" s="24"/>
      <c r="H439" s="2"/>
      <c r="I439" s="2"/>
      <c r="J439" s="2"/>
      <c r="K439" s="2"/>
      <c r="L439" s="2"/>
      <c r="M439" s="2"/>
      <c r="N439" s="2"/>
      <c r="O439" s="7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7"/>
      <c r="D440" s="7"/>
      <c r="E440" s="2"/>
      <c r="F440" s="24"/>
      <c r="G440" s="24"/>
      <c r="H440" s="2"/>
      <c r="I440" s="2"/>
      <c r="J440" s="2"/>
      <c r="K440" s="2"/>
      <c r="L440" s="2"/>
      <c r="M440" s="2"/>
      <c r="N440" s="2"/>
      <c r="O440" s="7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7"/>
      <c r="D441" s="7"/>
      <c r="E441" s="2"/>
      <c r="F441" s="24"/>
      <c r="G441" s="24"/>
      <c r="H441" s="2"/>
      <c r="I441" s="2"/>
      <c r="J441" s="2"/>
      <c r="K441" s="2"/>
      <c r="L441" s="2"/>
      <c r="M441" s="2"/>
      <c r="N441" s="2"/>
      <c r="O441" s="7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7"/>
      <c r="D442" s="7"/>
      <c r="E442" s="2"/>
      <c r="F442" s="24"/>
      <c r="G442" s="24"/>
      <c r="H442" s="2"/>
      <c r="I442" s="2"/>
      <c r="J442" s="2"/>
      <c r="K442" s="2"/>
      <c r="L442" s="2"/>
      <c r="M442" s="2"/>
      <c r="N442" s="2"/>
      <c r="O442" s="7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7"/>
      <c r="D443" s="7"/>
      <c r="E443" s="2"/>
      <c r="F443" s="24"/>
      <c r="G443" s="24"/>
      <c r="H443" s="2"/>
      <c r="I443" s="2"/>
      <c r="J443" s="2"/>
      <c r="K443" s="2"/>
      <c r="L443" s="2"/>
      <c r="M443" s="2"/>
      <c r="N443" s="2"/>
      <c r="O443" s="7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7"/>
      <c r="D444" s="7"/>
      <c r="E444" s="2"/>
      <c r="F444" s="24"/>
      <c r="G444" s="24"/>
      <c r="H444" s="2"/>
      <c r="I444" s="2"/>
      <c r="J444" s="2"/>
      <c r="K444" s="2"/>
      <c r="L444" s="2"/>
      <c r="M444" s="2"/>
      <c r="N444" s="2"/>
      <c r="O444" s="7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7"/>
      <c r="D445" s="7"/>
      <c r="E445" s="2"/>
      <c r="F445" s="24"/>
      <c r="G445" s="24"/>
      <c r="H445" s="2"/>
      <c r="I445" s="2"/>
      <c r="J445" s="2"/>
      <c r="K445" s="2"/>
      <c r="L445" s="2"/>
      <c r="M445" s="2"/>
      <c r="N445" s="2"/>
      <c r="O445" s="7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7"/>
      <c r="D446" s="7"/>
      <c r="E446" s="2"/>
      <c r="F446" s="24"/>
      <c r="G446" s="24"/>
      <c r="H446" s="2"/>
      <c r="I446" s="2"/>
      <c r="J446" s="2"/>
      <c r="K446" s="2"/>
      <c r="L446" s="2"/>
      <c r="M446" s="2"/>
      <c r="N446" s="2"/>
      <c r="O446" s="7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7"/>
      <c r="D447" s="7"/>
      <c r="E447" s="2"/>
      <c r="F447" s="24"/>
      <c r="G447" s="24"/>
      <c r="H447" s="2"/>
      <c r="I447" s="2"/>
      <c r="J447" s="2"/>
      <c r="K447" s="2"/>
      <c r="L447" s="2"/>
      <c r="M447" s="2"/>
      <c r="N447" s="2"/>
      <c r="O447" s="7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7"/>
      <c r="D448" s="7"/>
      <c r="E448" s="2"/>
      <c r="F448" s="24"/>
      <c r="G448" s="24"/>
      <c r="H448" s="2"/>
      <c r="I448" s="2"/>
      <c r="J448" s="2"/>
      <c r="K448" s="2"/>
      <c r="L448" s="2"/>
      <c r="M448" s="2"/>
      <c r="N448" s="2"/>
      <c r="O448" s="7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7"/>
      <c r="D449" s="7"/>
      <c r="E449" s="2"/>
      <c r="F449" s="24"/>
      <c r="G449" s="24"/>
      <c r="H449" s="2"/>
      <c r="I449" s="2"/>
      <c r="J449" s="2"/>
      <c r="K449" s="2"/>
      <c r="L449" s="2"/>
      <c r="M449" s="2"/>
      <c r="N449" s="2"/>
      <c r="O449" s="7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7"/>
      <c r="D450" s="7"/>
      <c r="E450" s="2"/>
      <c r="F450" s="24"/>
      <c r="G450" s="24"/>
      <c r="H450" s="2"/>
      <c r="I450" s="2"/>
      <c r="J450" s="2"/>
      <c r="K450" s="2"/>
      <c r="L450" s="2"/>
      <c r="M450" s="2"/>
      <c r="N450" s="2"/>
      <c r="O450" s="7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7"/>
      <c r="D451" s="7"/>
      <c r="E451" s="2"/>
      <c r="F451" s="24"/>
      <c r="G451" s="24"/>
      <c r="H451" s="2"/>
      <c r="I451" s="2"/>
      <c r="J451" s="2"/>
      <c r="K451" s="2"/>
      <c r="L451" s="2"/>
      <c r="M451" s="2"/>
      <c r="N451" s="2"/>
      <c r="O451" s="7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7"/>
      <c r="D452" s="7"/>
      <c r="E452" s="2"/>
      <c r="F452" s="24"/>
      <c r="G452" s="24"/>
      <c r="H452" s="2"/>
      <c r="I452" s="2"/>
      <c r="J452" s="2"/>
      <c r="K452" s="2"/>
      <c r="L452" s="2"/>
      <c r="M452" s="2"/>
      <c r="N452" s="2"/>
      <c r="O452" s="7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7"/>
      <c r="D453" s="7"/>
      <c r="E453" s="2"/>
      <c r="F453" s="24"/>
      <c r="G453" s="24"/>
      <c r="H453" s="2"/>
      <c r="I453" s="2"/>
      <c r="J453" s="2"/>
      <c r="K453" s="2"/>
      <c r="L453" s="2"/>
      <c r="M453" s="2"/>
      <c r="N453" s="2"/>
      <c r="O453" s="7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7"/>
      <c r="D454" s="7"/>
      <c r="E454" s="2"/>
      <c r="F454" s="24"/>
      <c r="G454" s="24"/>
      <c r="H454" s="2"/>
      <c r="I454" s="2"/>
      <c r="J454" s="2"/>
      <c r="K454" s="2"/>
      <c r="L454" s="2"/>
      <c r="M454" s="2"/>
      <c r="N454" s="2"/>
      <c r="O454" s="7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7"/>
      <c r="D455" s="7"/>
      <c r="E455" s="2"/>
      <c r="F455" s="24"/>
      <c r="G455" s="24"/>
      <c r="H455" s="2"/>
      <c r="I455" s="2"/>
      <c r="J455" s="2"/>
      <c r="K455" s="2"/>
      <c r="L455" s="2"/>
      <c r="M455" s="2"/>
      <c r="N455" s="2"/>
      <c r="O455" s="7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7"/>
      <c r="D456" s="7"/>
      <c r="E456" s="2"/>
      <c r="F456" s="24"/>
      <c r="G456" s="24"/>
      <c r="H456" s="2"/>
      <c r="I456" s="2"/>
      <c r="J456" s="2"/>
      <c r="K456" s="2"/>
      <c r="L456" s="2"/>
      <c r="M456" s="2"/>
      <c r="N456" s="2"/>
      <c r="O456" s="7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7"/>
      <c r="D457" s="7"/>
      <c r="E457" s="2"/>
      <c r="F457" s="24"/>
      <c r="G457" s="24"/>
      <c r="H457" s="2"/>
      <c r="I457" s="2"/>
      <c r="J457" s="2"/>
      <c r="K457" s="2"/>
      <c r="L457" s="2"/>
      <c r="M457" s="2"/>
      <c r="N457" s="2"/>
      <c r="O457" s="7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7"/>
      <c r="D458" s="7"/>
      <c r="E458" s="2"/>
      <c r="F458" s="24"/>
      <c r="G458" s="24"/>
      <c r="H458" s="2"/>
      <c r="I458" s="2"/>
      <c r="J458" s="2"/>
      <c r="K458" s="2"/>
      <c r="L458" s="2"/>
      <c r="M458" s="2"/>
      <c r="N458" s="2"/>
      <c r="O458" s="7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7"/>
      <c r="D459" s="7"/>
      <c r="E459" s="2"/>
      <c r="F459" s="24"/>
      <c r="G459" s="24"/>
      <c r="H459" s="2"/>
      <c r="I459" s="2"/>
      <c r="J459" s="2"/>
      <c r="K459" s="2"/>
      <c r="L459" s="2"/>
      <c r="M459" s="2"/>
      <c r="N459" s="2"/>
      <c r="O459" s="7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7"/>
      <c r="D460" s="7"/>
      <c r="E460" s="2"/>
      <c r="F460" s="24"/>
      <c r="G460" s="24"/>
      <c r="H460" s="2"/>
      <c r="I460" s="2"/>
      <c r="J460" s="2"/>
      <c r="K460" s="2"/>
      <c r="L460" s="2"/>
      <c r="M460" s="2"/>
      <c r="N460" s="2"/>
      <c r="O460" s="7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7"/>
      <c r="D461" s="7"/>
      <c r="E461" s="2"/>
      <c r="F461" s="24"/>
      <c r="G461" s="24"/>
      <c r="H461" s="2"/>
      <c r="I461" s="2"/>
      <c r="J461" s="2"/>
      <c r="K461" s="2"/>
      <c r="L461" s="2"/>
      <c r="M461" s="2"/>
      <c r="N461" s="2"/>
      <c r="O461" s="7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7"/>
      <c r="D462" s="7"/>
      <c r="E462" s="2"/>
      <c r="F462" s="24"/>
      <c r="G462" s="24"/>
      <c r="H462" s="2"/>
      <c r="I462" s="2"/>
      <c r="J462" s="2"/>
      <c r="K462" s="2"/>
      <c r="L462" s="2"/>
      <c r="M462" s="2"/>
      <c r="N462" s="2"/>
      <c r="O462" s="7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7"/>
      <c r="D463" s="7"/>
      <c r="E463" s="2"/>
      <c r="F463" s="24"/>
      <c r="G463" s="24"/>
      <c r="H463" s="2"/>
      <c r="I463" s="2"/>
      <c r="J463" s="2"/>
      <c r="K463" s="2"/>
      <c r="L463" s="2"/>
      <c r="M463" s="2"/>
      <c r="N463" s="2"/>
      <c r="O463" s="7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7"/>
      <c r="D464" s="7"/>
      <c r="E464" s="2"/>
      <c r="F464" s="24"/>
      <c r="G464" s="24"/>
      <c r="H464" s="2"/>
      <c r="I464" s="2"/>
      <c r="J464" s="2"/>
      <c r="K464" s="2"/>
      <c r="L464" s="2"/>
      <c r="M464" s="2"/>
      <c r="N464" s="2"/>
      <c r="O464" s="7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7"/>
      <c r="D465" s="7"/>
      <c r="E465" s="2"/>
      <c r="F465" s="24"/>
      <c r="G465" s="24"/>
      <c r="H465" s="2"/>
      <c r="I465" s="2"/>
      <c r="J465" s="2"/>
      <c r="K465" s="2"/>
      <c r="L465" s="2"/>
      <c r="M465" s="2"/>
      <c r="N465" s="2"/>
      <c r="O465" s="7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7"/>
      <c r="D466" s="7"/>
      <c r="E466" s="2"/>
      <c r="F466" s="24"/>
      <c r="G466" s="24"/>
      <c r="H466" s="2"/>
      <c r="I466" s="2"/>
      <c r="J466" s="2"/>
      <c r="K466" s="2"/>
      <c r="L466" s="2"/>
      <c r="M466" s="2"/>
      <c r="N466" s="2"/>
      <c r="O466" s="7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7"/>
      <c r="D467" s="7"/>
      <c r="E467" s="2"/>
      <c r="F467" s="24"/>
      <c r="G467" s="24"/>
      <c r="H467" s="2"/>
      <c r="I467" s="2"/>
      <c r="J467" s="2"/>
      <c r="K467" s="2"/>
      <c r="L467" s="2"/>
      <c r="M467" s="2"/>
      <c r="N467" s="2"/>
      <c r="O467" s="7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7"/>
      <c r="D468" s="7"/>
      <c r="E468" s="2"/>
      <c r="F468" s="24"/>
      <c r="G468" s="24"/>
      <c r="H468" s="2"/>
      <c r="I468" s="2"/>
      <c r="J468" s="2"/>
      <c r="K468" s="2"/>
      <c r="L468" s="2"/>
      <c r="M468" s="2"/>
      <c r="N468" s="2"/>
      <c r="O468" s="7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7"/>
      <c r="D469" s="7"/>
      <c r="E469" s="2"/>
      <c r="F469" s="24"/>
      <c r="G469" s="24"/>
      <c r="H469" s="2"/>
      <c r="I469" s="2"/>
      <c r="J469" s="2"/>
      <c r="K469" s="2"/>
      <c r="L469" s="2"/>
      <c r="M469" s="2"/>
      <c r="N469" s="2"/>
      <c r="O469" s="7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7"/>
      <c r="D470" s="7"/>
      <c r="E470" s="2"/>
      <c r="F470" s="24"/>
      <c r="G470" s="24"/>
      <c r="H470" s="2"/>
      <c r="I470" s="2"/>
      <c r="J470" s="2"/>
      <c r="K470" s="2"/>
      <c r="L470" s="2"/>
      <c r="M470" s="2"/>
      <c r="N470" s="2"/>
      <c r="O470" s="7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7"/>
      <c r="D471" s="7"/>
      <c r="E471" s="2"/>
      <c r="F471" s="24"/>
      <c r="G471" s="24"/>
      <c r="H471" s="2"/>
      <c r="I471" s="2"/>
      <c r="J471" s="2"/>
      <c r="K471" s="2"/>
      <c r="L471" s="2"/>
      <c r="M471" s="2"/>
      <c r="N471" s="2"/>
      <c r="O471" s="7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7"/>
      <c r="D472" s="7"/>
      <c r="E472" s="2"/>
      <c r="F472" s="24"/>
      <c r="G472" s="24"/>
      <c r="H472" s="2"/>
      <c r="I472" s="2"/>
      <c r="J472" s="2"/>
      <c r="K472" s="2"/>
      <c r="L472" s="2"/>
      <c r="M472" s="2"/>
      <c r="N472" s="2"/>
      <c r="O472" s="7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7"/>
      <c r="D473" s="7"/>
      <c r="E473" s="2"/>
      <c r="F473" s="24"/>
      <c r="G473" s="24"/>
      <c r="H473" s="2"/>
      <c r="I473" s="2"/>
      <c r="J473" s="2"/>
      <c r="K473" s="2"/>
      <c r="L473" s="2"/>
      <c r="M473" s="2"/>
      <c r="N473" s="2"/>
      <c r="O473" s="7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7"/>
      <c r="D474" s="7"/>
      <c r="E474" s="2"/>
      <c r="F474" s="24"/>
      <c r="G474" s="24"/>
      <c r="H474" s="2"/>
      <c r="I474" s="2"/>
      <c r="J474" s="2"/>
      <c r="K474" s="2"/>
      <c r="L474" s="2"/>
      <c r="M474" s="2"/>
      <c r="N474" s="2"/>
      <c r="O474" s="7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7"/>
      <c r="D475" s="7"/>
      <c r="E475" s="2"/>
      <c r="F475" s="24"/>
      <c r="G475" s="24"/>
      <c r="H475" s="2"/>
      <c r="I475" s="2"/>
      <c r="J475" s="2"/>
      <c r="K475" s="2"/>
      <c r="L475" s="2"/>
      <c r="M475" s="2"/>
      <c r="N475" s="2"/>
      <c r="O475" s="7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7"/>
      <c r="D476" s="7"/>
      <c r="E476" s="2"/>
      <c r="F476" s="24"/>
      <c r="G476" s="24"/>
      <c r="H476" s="2"/>
      <c r="I476" s="2"/>
      <c r="J476" s="2"/>
      <c r="K476" s="2"/>
      <c r="L476" s="2"/>
      <c r="M476" s="2"/>
      <c r="N476" s="2"/>
      <c r="O476" s="7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7"/>
      <c r="D477" s="7"/>
      <c r="E477" s="2"/>
      <c r="F477" s="24"/>
      <c r="G477" s="24"/>
      <c r="H477" s="2"/>
      <c r="I477" s="2"/>
      <c r="J477" s="2"/>
      <c r="K477" s="2"/>
      <c r="L477" s="2"/>
      <c r="M477" s="2"/>
      <c r="N477" s="2"/>
      <c r="O477" s="7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7"/>
      <c r="D478" s="7"/>
      <c r="E478" s="2"/>
      <c r="F478" s="24"/>
      <c r="G478" s="24"/>
      <c r="H478" s="2"/>
      <c r="I478" s="2"/>
      <c r="J478" s="2"/>
      <c r="K478" s="2"/>
      <c r="L478" s="2"/>
      <c r="M478" s="2"/>
      <c r="N478" s="2"/>
      <c r="O478" s="7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7"/>
      <c r="D479" s="7"/>
      <c r="E479" s="2"/>
      <c r="F479" s="24"/>
      <c r="G479" s="24"/>
      <c r="H479" s="2"/>
      <c r="I479" s="2"/>
      <c r="J479" s="2"/>
      <c r="K479" s="2"/>
      <c r="L479" s="2"/>
      <c r="M479" s="2"/>
      <c r="N479" s="2"/>
      <c r="O479" s="7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7"/>
      <c r="D480" s="7"/>
      <c r="E480" s="2"/>
      <c r="F480" s="24"/>
      <c r="G480" s="24"/>
      <c r="H480" s="2"/>
      <c r="I480" s="2"/>
      <c r="J480" s="2"/>
      <c r="K480" s="2"/>
      <c r="L480" s="2"/>
      <c r="M480" s="2"/>
      <c r="N480" s="2"/>
      <c r="O480" s="7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7"/>
      <c r="D481" s="7"/>
      <c r="E481" s="2"/>
      <c r="F481" s="24"/>
      <c r="G481" s="24"/>
      <c r="H481" s="2"/>
      <c r="I481" s="2"/>
      <c r="J481" s="2"/>
      <c r="K481" s="2"/>
      <c r="L481" s="2"/>
      <c r="M481" s="2"/>
      <c r="N481" s="2"/>
      <c r="O481" s="7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7"/>
      <c r="D482" s="7"/>
      <c r="E482" s="2"/>
      <c r="F482" s="24"/>
      <c r="G482" s="24"/>
      <c r="H482" s="2"/>
      <c r="I482" s="2"/>
      <c r="J482" s="2"/>
      <c r="K482" s="2"/>
      <c r="L482" s="2"/>
      <c r="M482" s="2"/>
      <c r="N482" s="2"/>
      <c r="O482" s="7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7"/>
      <c r="D483" s="7"/>
      <c r="E483" s="2"/>
      <c r="F483" s="24"/>
      <c r="G483" s="24"/>
      <c r="H483" s="2"/>
      <c r="I483" s="2"/>
      <c r="J483" s="2"/>
      <c r="K483" s="2"/>
      <c r="L483" s="2"/>
      <c r="M483" s="2"/>
      <c r="N483" s="2"/>
      <c r="O483" s="7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7"/>
      <c r="D484" s="7"/>
      <c r="E484" s="2"/>
      <c r="F484" s="24"/>
      <c r="G484" s="24"/>
      <c r="H484" s="2"/>
      <c r="I484" s="2"/>
      <c r="J484" s="2"/>
      <c r="K484" s="2"/>
      <c r="L484" s="2"/>
      <c r="M484" s="2"/>
      <c r="N484" s="2"/>
      <c r="O484" s="7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7"/>
      <c r="D485" s="7"/>
      <c r="E485" s="2"/>
      <c r="F485" s="24"/>
      <c r="G485" s="24"/>
      <c r="H485" s="2"/>
      <c r="I485" s="2"/>
      <c r="J485" s="2"/>
      <c r="K485" s="2"/>
      <c r="L485" s="2"/>
      <c r="M485" s="2"/>
      <c r="N485" s="2"/>
      <c r="O485" s="7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7"/>
      <c r="D486" s="7"/>
      <c r="E486" s="2"/>
      <c r="F486" s="24"/>
      <c r="G486" s="24"/>
      <c r="H486" s="2"/>
      <c r="I486" s="2"/>
      <c r="J486" s="2"/>
      <c r="K486" s="2"/>
      <c r="L486" s="2"/>
      <c r="M486" s="2"/>
      <c r="N486" s="2"/>
      <c r="O486" s="7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7"/>
      <c r="D487" s="7"/>
      <c r="E487" s="2"/>
      <c r="F487" s="24"/>
      <c r="G487" s="24"/>
      <c r="H487" s="2"/>
      <c r="I487" s="2"/>
      <c r="J487" s="2"/>
      <c r="K487" s="2"/>
      <c r="L487" s="2"/>
      <c r="M487" s="2"/>
      <c r="N487" s="2"/>
      <c r="O487" s="7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7"/>
      <c r="D488" s="7"/>
      <c r="E488" s="2"/>
      <c r="F488" s="24"/>
      <c r="G488" s="24"/>
      <c r="H488" s="2"/>
      <c r="I488" s="2"/>
      <c r="J488" s="2"/>
      <c r="K488" s="2"/>
      <c r="L488" s="2"/>
      <c r="M488" s="2"/>
      <c r="N488" s="2"/>
      <c r="O488" s="7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7"/>
      <c r="D489" s="7"/>
      <c r="E489" s="2"/>
      <c r="F489" s="24"/>
      <c r="G489" s="24"/>
      <c r="H489" s="2"/>
      <c r="I489" s="2"/>
      <c r="J489" s="2"/>
      <c r="K489" s="2"/>
      <c r="L489" s="2"/>
      <c r="M489" s="2"/>
      <c r="N489" s="2"/>
      <c r="O489" s="7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7"/>
      <c r="D490" s="7"/>
      <c r="E490" s="2"/>
      <c r="F490" s="24"/>
      <c r="G490" s="24"/>
      <c r="H490" s="2"/>
      <c r="I490" s="2"/>
      <c r="J490" s="2"/>
      <c r="K490" s="2"/>
      <c r="L490" s="2"/>
      <c r="M490" s="2"/>
      <c r="N490" s="2"/>
      <c r="O490" s="7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7"/>
      <c r="D491" s="7"/>
      <c r="E491" s="2"/>
      <c r="F491" s="24"/>
      <c r="G491" s="24"/>
      <c r="H491" s="2"/>
      <c r="I491" s="2"/>
      <c r="J491" s="2"/>
      <c r="K491" s="2"/>
      <c r="L491" s="2"/>
      <c r="M491" s="2"/>
      <c r="N491" s="2"/>
      <c r="O491" s="7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7"/>
      <c r="D492" s="7"/>
      <c r="E492" s="2"/>
      <c r="F492" s="24"/>
      <c r="G492" s="24"/>
      <c r="H492" s="2"/>
      <c r="I492" s="2"/>
      <c r="J492" s="2"/>
      <c r="K492" s="2"/>
      <c r="L492" s="2"/>
      <c r="M492" s="2"/>
      <c r="N492" s="2"/>
      <c r="O492" s="7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7"/>
      <c r="D493" s="7"/>
      <c r="E493" s="2"/>
      <c r="F493" s="24"/>
      <c r="G493" s="24"/>
      <c r="H493" s="2"/>
      <c r="I493" s="2"/>
      <c r="J493" s="2"/>
      <c r="K493" s="2"/>
      <c r="L493" s="2"/>
      <c r="M493" s="2"/>
      <c r="N493" s="2"/>
      <c r="O493" s="7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7"/>
      <c r="D494" s="7"/>
      <c r="E494" s="2"/>
      <c r="F494" s="24"/>
      <c r="G494" s="24"/>
      <c r="H494" s="2"/>
      <c r="I494" s="2"/>
      <c r="J494" s="2"/>
      <c r="K494" s="2"/>
      <c r="L494" s="2"/>
      <c r="M494" s="2"/>
      <c r="N494" s="2"/>
      <c r="O494" s="7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7"/>
      <c r="D495" s="7"/>
      <c r="E495" s="2"/>
      <c r="F495" s="24"/>
      <c r="G495" s="24"/>
      <c r="H495" s="2"/>
      <c r="I495" s="2"/>
      <c r="J495" s="2"/>
      <c r="K495" s="2"/>
      <c r="L495" s="2"/>
      <c r="M495" s="2"/>
      <c r="N495" s="2"/>
      <c r="O495" s="7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7"/>
      <c r="D496" s="7"/>
      <c r="E496" s="2"/>
      <c r="F496" s="24"/>
      <c r="G496" s="24"/>
      <c r="H496" s="2"/>
      <c r="I496" s="2"/>
      <c r="J496" s="2"/>
      <c r="K496" s="2"/>
      <c r="L496" s="2"/>
      <c r="M496" s="2"/>
      <c r="N496" s="2"/>
      <c r="O496" s="7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7"/>
      <c r="D497" s="7"/>
      <c r="E497" s="2"/>
      <c r="F497" s="24"/>
      <c r="G497" s="24"/>
      <c r="H497" s="2"/>
      <c r="I497" s="2"/>
      <c r="J497" s="2"/>
      <c r="K497" s="2"/>
      <c r="L497" s="2"/>
      <c r="M497" s="2"/>
      <c r="N497" s="2"/>
      <c r="O497" s="7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7"/>
      <c r="D498" s="7"/>
      <c r="E498" s="2"/>
      <c r="F498" s="24"/>
      <c r="G498" s="24"/>
      <c r="H498" s="2"/>
      <c r="I498" s="2"/>
      <c r="J498" s="2"/>
      <c r="K498" s="2"/>
      <c r="L498" s="2"/>
      <c r="M498" s="2"/>
      <c r="N498" s="2"/>
      <c r="O498" s="7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7"/>
      <c r="D499" s="7"/>
      <c r="E499" s="2"/>
      <c r="F499" s="24"/>
      <c r="G499" s="24"/>
      <c r="H499" s="2"/>
      <c r="I499" s="2"/>
      <c r="J499" s="2"/>
      <c r="K499" s="2"/>
      <c r="L499" s="2"/>
      <c r="M499" s="2"/>
      <c r="N499" s="2"/>
      <c r="O499" s="7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7"/>
      <c r="D500" s="7"/>
      <c r="E500" s="2"/>
      <c r="F500" s="24"/>
      <c r="G500" s="24"/>
      <c r="H500" s="2"/>
      <c r="I500" s="2"/>
      <c r="J500" s="2"/>
      <c r="K500" s="2"/>
      <c r="L500" s="2"/>
      <c r="M500" s="2"/>
      <c r="N500" s="2"/>
      <c r="O500" s="7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7"/>
      <c r="D501" s="7"/>
      <c r="E501" s="2"/>
      <c r="F501" s="24"/>
      <c r="G501" s="24"/>
      <c r="H501" s="2"/>
      <c r="I501" s="2"/>
      <c r="J501" s="2"/>
      <c r="K501" s="2"/>
      <c r="L501" s="2"/>
      <c r="M501" s="2"/>
      <c r="N501" s="2"/>
      <c r="O501" s="7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7"/>
      <c r="D502" s="7"/>
      <c r="E502" s="2"/>
      <c r="F502" s="24"/>
      <c r="G502" s="24"/>
      <c r="H502" s="2"/>
      <c r="I502" s="2"/>
      <c r="J502" s="2"/>
      <c r="K502" s="2"/>
      <c r="L502" s="2"/>
      <c r="M502" s="2"/>
      <c r="N502" s="2"/>
      <c r="O502" s="7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7"/>
      <c r="D503" s="7"/>
      <c r="E503" s="2"/>
      <c r="F503" s="24"/>
      <c r="G503" s="24"/>
      <c r="H503" s="2"/>
      <c r="I503" s="2"/>
      <c r="J503" s="2"/>
      <c r="K503" s="2"/>
      <c r="L503" s="2"/>
      <c r="M503" s="2"/>
      <c r="N503" s="2"/>
      <c r="O503" s="7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7"/>
      <c r="D504" s="7"/>
      <c r="E504" s="2"/>
      <c r="F504" s="24"/>
      <c r="G504" s="24"/>
      <c r="H504" s="2"/>
      <c r="I504" s="2"/>
      <c r="J504" s="2"/>
      <c r="K504" s="2"/>
      <c r="L504" s="2"/>
      <c r="M504" s="2"/>
      <c r="N504" s="2"/>
      <c r="O504" s="7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7"/>
      <c r="D505" s="7"/>
      <c r="E505" s="2"/>
      <c r="F505" s="24"/>
      <c r="G505" s="24"/>
      <c r="H505" s="2"/>
      <c r="I505" s="2"/>
      <c r="J505" s="2"/>
      <c r="K505" s="2"/>
      <c r="L505" s="2"/>
      <c r="M505" s="2"/>
      <c r="N505" s="2"/>
      <c r="O505" s="7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7"/>
      <c r="D506" s="7"/>
      <c r="E506" s="2"/>
      <c r="F506" s="24"/>
      <c r="G506" s="24"/>
      <c r="H506" s="2"/>
      <c r="I506" s="2"/>
      <c r="J506" s="2"/>
      <c r="K506" s="2"/>
      <c r="L506" s="2"/>
      <c r="M506" s="2"/>
      <c r="N506" s="2"/>
      <c r="O506" s="7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7"/>
      <c r="D507" s="7"/>
      <c r="E507" s="2"/>
      <c r="F507" s="24"/>
      <c r="G507" s="24"/>
      <c r="H507" s="2"/>
      <c r="I507" s="2"/>
      <c r="J507" s="2"/>
      <c r="K507" s="2"/>
      <c r="L507" s="2"/>
      <c r="M507" s="2"/>
      <c r="N507" s="2"/>
      <c r="O507" s="7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7"/>
      <c r="D508" s="7"/>
      <c r="E508" s="2"/>
      <c r="F508" s="24"/>
      <c r="G508" s="24"/>
      <c r="H508" s="2"/>
      <c r="I508" s="2"/>
      <c r="J508" s="2"/>
      <c r="K508" s="2"/>
      <c r="L508" s="2"/>
      <c r="M508" s="2"/>
      <c r="N508" s="2"/>
      <c r="O508" s="7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7"/>
      <c r="D509" s="7"/>
      <c r="E509" s="2"/>
      <c r="F509" s="24"/>
      <c r="G509" s="24"/>
      <c r="H509" s="2"/>
      <c r="I509" s="2"/>
      <c r="J509" s="2"/>
      <c r="K509" s="2"/>
      <c r="L509" s="2"/>
      <c r="M509" s="2"/>
      <c r="N509" s="2"/>
      <c r="O509" s="7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7"/>
      <c r="D510" s="7"/>
      <c r="E510" s="2"/>
      <c r="F510" s="24"/>
      <c r="G510" s="24"/>
      <c r="H510" s="2"/>
      <c r="I510" s="2"/>
      <c r="J510" s="2"/>
      <c r="K510" s="2"/>
      <c r="L510" s="2"/>
      <c r="M510" s="2"/>
      <c r="N510" s="2"/>
      <c r="O510" s="7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7"/>
      <c r="D511" s="7"/>
      <c r="E511" s="2"/>
      <c r="F511" s="24"/>
      <c r="G511" s="24"/>
      <c r="H511" s="2"/>
      <c r="I511" s="2"/>
      <c r="J511" s="2"/>
      <c r="K511" s="2"/>
      <c r="L511" s="2"/>
      <c r="M511" s="2"/>
      <c r="N511" s="2"/>
      <c r="O511" s="7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7"/>
      <c r="D512" s="7"/>
      <c r="E512" s="2"/>
      <c r="F512" s="24"/>
      <c r="G512" s="24"/>
      <c r="H512" s="2"/>
      <c r="I512" s="2"/>
      <c r="J512" s="2"/>
      <c r="K512" s="2"/>
      <c r="L512" s="2"/>
      <c r="M512" s="2"/>
      <c r="N512" s="2"/>
      <c r="O512" s="7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7"/>
      <c r="D513" s="7"/>
      <c r="E513" s="2"/>
      <c r="F513" s="24"/>
      <c r="G513" s="24"/>
      <c r="H513" s="2"/>
      <c r="I513" s="2"/>
      <c r="J513" s="2"/>
      <c r="K513" s="2"/>
      <c r="L513" s="2"/>
      <c r="M513" s="2"/>
      <c r="N513" s="2"/>
      <c r="O513" s="7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7"/>
      <c r="D514" s="7"/>
      <c r="E514" s="2"/>
      <c r="F514" s="24"/>
      <c r="G514" s="24"/>
      <c r="H514" s="2"/>
      <c r="I514" s="2"/>
      <c r="J514" s="2"/>
      <c r="K514" s="2"/>
      <c r="L514" s="2"/>
      <c r="M514" s="2"/>
      <c r="N514" s="2"/>
      <c r="O514" s="7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7"/>
      <c r="D515" s="7"/>
      <c r="E515" s="2"/>
      <c r="F515" s="24"/>
      <c r="G515" s="24"/>
      <c r="H515" s="2"/>
      <c r="I515" s="2"/>
      <c r="J515" s="2"/>
      <c r="K515" s="2"/>
      <c r="L515" s="2"/>
      <c r="M515" s="2"/>
      <c r="N515" s="2"/>
      <c r="O515" s="7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7"/>
      <c r="D516" s="7"/>
      <c r="E516" s="2"/>
      <c r="F516" s="24"/>
      <c r="G516" s="24"/>
      <c r="H516" s="2"/>
      <c r="I516" s="2"/>
      <c r="J516" s="2"/>
      <c r="K516" s="2"/>
      <c r="L516" s="2"/>
      <c r="M516" s="2"/>
      <c r="N516" s="2"/>
      <c r="O516" s="7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7"/>
      <c r="D517" s="7"/>
      <c r="E517" s="2"/>
      <c r="F517" s="24"/>
      <c r="G517" s="24"/>
      <c r="H517" s="2"/>
      <c r="I517" s="2"/>
      <c r="J517" s="2"/>
      <c r="K517" s="2"/>
      <c r="L517" s="2"/>
      <c r="M517" s="2"/>
      <c r="N517" s="2"/>
      <c r="O517" s="7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7"/>
      <c r="D518" s="7"/>
      <c r="E518" s="2"/>
      <c r="F518" s="24"/>
      <c r="G518" s="24"/>
      <c r="H518" s="2"/>
      <c r="I518" s="2"/>
      <c r="J518" s="2"/>
      <c r="K518" s="2"/>
      <c r="L518" s="2"/>
      <c r="M518" s="2"/>
      <c r="N518" s="2"/>
      <c r="O518" s="7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7"/>
      <c r="D519" s="7"/>
      <c r="E519" s="2"/>
      <c r="F519" s="24"/>
      <c r="G519" s="24"/>
      <c r="H519" s="2"/>
      <c r="I519" s="2"/>
      <c r="J519" s="2"/>
      <c r="K519" s="2"/>
      <c r="L519" s="2"/>
      <c r="M519" s="2"/>
      <c r="N519" s="2"/>
      <c r="O519" s="7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7"/>
      <c r="D520" s="7"/>
      <c r="E520" s="2"/>
      <c r="F520" s="24"/>
      <c r="G520" s="24"/>
      <c r="H520" s="2"/>
      <c r="I520" s="2"/>
      <c r="J520" s="2"/>
      <c r="K520" s="2"/>
      <c r="L520" s="2"/>
      <c r="M520" s="2"/>
      <c r="N520" s="2"/>
      <c r="O520" s="7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7"/>
      <c r="D521" s="7"/>
      <c r="E521" s="2"/>
      <c r="F521" s="24"/>
      <c r="G521" s="24"/>
      <c r="H521" s="2"/>
      <c r="I521" s="2"/>
      <c r="J521" s="2"/>
      <c r="K521" s="2"/>
      <c r="L521" s="2"/>
      <c r="M521" s="2"/>
      <c r="N521" s="2"/>
      <c r="O521" s="7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7"/>
      <c r="D522" s="7"/>
      <c r="E522" s="2"/>
      <c r="F522" s="24"/>
      <c r="G522" s="24"/>
      <c r="H522" s="2"/>
      <c r="I522" s="2"/>
      <c r="J522" s="2"/>
      <c r="K522" s="2"/>
      <c r="L522" s="2"/>
      <c r="M522" s="2"/>
      <c r="N522" s="2"/>
      <c r="O522" s="7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7"/>
      <c r="D523" s="7"/>
      <c r="E523" s="2"/>
      <c r="F523" s="24"/>
      <c r="G523" s="24"/>
      <c r="H523" s="2"/>
      <c r="I523" s="2"/>
      <c r="J523" s="2"/>
      <c r="K523" s="2"/>
      <c r="L523" s="2"/>
      <c r="M523" s="2"/>
      <c r="N523" s="2"/>
      <c r="O523" s="7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7"/>
      <c r="D524" s="7"/>
      <c r="E524" s="2"/>
      <c r="F524" s="24"/>
      <c r="G524" s="24"/>
      <c r="H524" s="2"/>
      <c r="I524" s="2"/>
      <c r="J524" s="2"/>
      <c r="K524" s="2"/>
      <c r="L524" s="2"/>
      <c r="M524" s="2"/>
      <c r="N524" s="2"/>
      <c r="O524" s="7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7"/>
      <c r="D525" s="7"/>
      <c r="E525" s="2"/>
      <c r="F525" s="24"/>
      <c r="G525" s="24"/>
      <c r="H525" s="2"/>
      <c r="I525" s="2"/>
      <c r="J525" s="2"/>
      <c r="K525" s="2"/>
      <c r="L525" s="2"/>
      <c r="M525" s="2"/>
      <c r="N525" s="2"/>
      <c r="O525" s="7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7"/>
      <c r="D526" s="7"/>
      <c r="E526" s="2"/>
      <c r="F526" s="24"/>
      <c r="G526" s="24"/>
      <c r="H526" s="2"/>
      <c r="I526" s="2"/>
      <c r="J526" s="2"/>
      <c r="K526" s="2"/>
      <c r="L526" s="2"/>
      <c r="M526" s="2"/>
      <c r="N526" s="2"/>
      <c r="O526" s="7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7"/>
      <c r="D527" s="7"/>
      <c r="E527" s="2"/>
      <c r="F527" s="24"/>
      <c r="G527" s="24"/>
      <c r="H527" s="2"/>
      <c r="I527" s="2"/>
      <c r="J527" s="2"/>
      <c r="K527" s="2"/>
      <c r="L527" s="2"/>
      <c r="M527" s="2"/>
      <c r="N527" s="2"/>
      <c r="O527" s="7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7"/>
      <c r="D528" s="7"/>
      <c r="E528" s="2"/>
      <c r="F528" s="24"/>
      <c r="G528" s="24"/>
      <c r="H528" s="2"/>
      <c r="I528" s="2"/>
      <c r="J528" s="2"/>
      <c r="K528" s="2"/>
      <c r="L528" s="2"/>
      <c r="M528" s="2"/>
      <c r="N528" s="2"/>
      <c r="O528" s="7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7"/>
      <c r="D529" s="7"/>
      <c r="E529" s="2"/>
      <c r="F529" s="24"/>
      <c r="G529" s="24"/>
      <c r="H529" s="2"/>
      <c r="I529" s="2"/>
      <c r="J529" s="2"/>
      <c r="K529" s="2"/>
      <c r="L529" s="2"/>
      <c r="M529" s="2"/>
      <c r="N529" s="2"/>
      <c r="O529" s="7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7"/>
      <c r="D530" s="7"/>
      <c r="E530" s="2"/>
      <c r="F530" s="24"/>
      <c r="G530" s="24"/>
      <c r="H530" s="2"/>
      <c r="I530" s="2"/>
      <c r="J530" s="2"/>
      <c r="K530" s="2"/>
      <c r="L530" s="2"/>
      <c r="M530" s="2"/>
      <c r="N530" s="2"/>
      <c r="O530" s="7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7"/>
      <c r="D531" s="7"/>
      <c r="E531" s="2"/>
      <c r="F531" s="24"/>
      <c r="G531" s="24"/>
      <c r="H531" s="2"/>
      <c r="I531" s="2"/>
      <c r="J531" s="2"/>
      <c r="K531" s="2"/>
      <c r="L531" s="2"/>
      <c r="M531" s="2"/>
      <c r="N531" s="2"/>
      <c r="O531" s="7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7"/>
      <c r="D532" s="7"/>
      <c r="E532" s="2"/>
      <c r="F532" s="24"/>
      <c r="G532" s="24"/>
      <c r="H532" s="2"/>
      <c r="I532" s="2"/>
      <c r="J532" s="2"/>
      <c r="K532" s="2"/>
      <c r="L532" s="2"/>
      <c r="M532" s="2"/>
      <c r="N532" s="2"/>
      <c r="O532" s="7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7"/>
      <c r="D533" s="7"/>
      <c r="E533" s="2"/>
      <c r="F533" s="24"/>
      <c r="G533" s="24"/>
      <c r="H533" s="2"/>
      <c r="I533" s="2"/>
      <c r="J533" s="2"/>
      <c r="K533" s="2"/>
      <c r="L533" s="2"/>
      <c r="M533" s="2"/>
      <c r="N533" s="2"/>
      <c r="O533" s="7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7"/>
      <c r="D534" s="7"/>
      <c r="E534" s="2"/>
      <c r="F534" s="24"/>
      <c r="G534" s="24"/>
      <c r="H534" s="2"/>
      <c r="I534" s="2"/>
      <c r="J534" s="2"/>
      <c r="K534" s="2"/>
      <c r="L534" s="2"/>
      <c r="M534" s="2"/>
      <c r="N534" s="2"/>
      <c r="O534" s="7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7"/>
      <c r="D535" s="7"/>
      <c r="E535" s="2"/>
      <c r="F535" s="24"/>
      <c r="G535" s="24"/>
      <c r="H535" s="2"/>
      <c r="I535" s="2"/>
      <c r="J535" s="2"/>
      <c r="K535" s="2"/>
      <c r="L535" s="2"/>
      <c r="M535" s="2"/>
      <c r="N535" s="2"/>
      <c r="O535" s="7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7"/>
      <c r="D536" s="7"/>
      <c r="E536" s="2"/>
      <c r="F536" s="24"/>
      <c r="G536" s="24"/>
      <c r="H536" s="2"/>
      <c r="I536" s="2"/>
      <c r="J536" s="2"/>
      <c r="K536" s="2"/>
      <c r="L536" s="2"/>
      <c r="M536" s="2"/>
      <c r="N536" s="2"/>
      <c r="O536" s="7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7"/>
      <c r="D537" s="7"/>
      <c r="E537" s="2"/>
      <c r="F537" s="24"/>
      <c r="G537" s="24"/>
      <c r="H537" s="2"/>
      <c r="I537" s="2"/>
      <c r="J537" s="2"/>
      <c r="K537" s="2"/>
      <c r="L537" s="2"/>
      <c r="M537" s="2"/>
      <c r="N537" s="2"/>
      <c r="O537" s="7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7"/>
      <c r="D538" s="7"/>
      <c r="E538" s="2"/>
      <c r="F538" s="24"/>
      <c r="G538" s="24"/>
      <c r="H538" s="2"/>
      <c r="I538" s="2"/>
      <c r="J538" s="2"/>
      <c r="K538" s="2"/>
      <c r="L538" s="2"/>
      <c r="M538" s="2"/>
      <c r="N538" s="2"/>
      <c r="O538" s="7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7"/>
      <c r="D539" s="7"/>
      <c r="E539" s="2"/>
      <c r="F539" s="24"/>
      <c r="G539" s="24"/>
      <c r="H539" s="2"/>
      <c r="I539" s="2"/>
      <c r="J539" s="2"/>
      <c r="K539" s="2"/>
      <c r="L539" s="2"/>
      <c r="M539" s="2"/>
      <c r="N539" s="2"/>
      <c r="O539" s="7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7"/>
      <c r="D540" s="7"/>
      <c r="E540" s="2"/>
      <c r="F540" s="24"/>
      <c r="G540" s="24"/>
      <c r="H540" s="2"/>
      <c r="I540" s="2"/>
      <c r="J540" s="2"/>
      <c r="K540" s="2"/>
      <c r="L540" s="2"/>
      <c r="M540" s="2"/>
      <c r="N540" s="2"/>
      <c r="O540" s="7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7"/>
      <c r="D541" s="7"/>
      <c r="E541" s="2"/>
      <c r="F541" s="24"/>
      <c r="G541" s="24"/>
      <c r="H541" s="2"/>
      <c r="I541" s="2"/>
      <c r="J541" s="2"/>
      <c r="K541" s="2"/>
      <c r="L541" s="2"/>
      <c r="M541" s="2"/>
      <c r="N541" s="2"/>
      <c r="O541" s="7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7"/>
      <c r="D542" s="7"/>
      <c r="E542" s="2"/>
      <c r="F542" s="24"/>
      <c r="G542" s="24"/>
      <c r="H542" s="2"/>
      <c r="I542" s="2"/>
      <c r="J542" s="2"/>
      <c r="K542" s="2"/>
      <c r="L542" s="2"/>
      <c r="M542" s="2"/>
      <c r="N542" s="2"/>
      <c r="O542" s="7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7"/>
      <c r="D543" s="7"/>
      <c r="E543" s="2"/>
      <c r="F543" s="24"/>
      <c r="G543" s="24"/>
      <c r="H543" s="2"/>
      <c r="I543" s="2"/>
      <c r="J543" s="2"/>
      <c r="K543" s="2"/>
      <c r="L543" s="2"/>
      <c r="M543" s="2"/>
      <c r="N543" s="2"/>
      <c r="O543" s="7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7"/>
      <c r="D544" s="7"/>
      <c r="E544" s="2"/>
      <c r="F544" s="24"/>
      <c r="G544" s="24"/>
      <c r="H544" s="2"/>
      <c r="I544" s="2"/>
      <c r="J544" s="2"/>
      <c r="K544" s="2"/>
      <c r="L544" s="2"/>
      <c r="M544" s="2"/>
      <c r="N544" s="2"/>
      <c r="O544" s="7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7"/>
      <c r="D545" s="7"/>
      <c r="E545" s="2"/>
      <c r="F545" s="24"/>
      <c r="G545" s="24"/>
      <c r="H545" s="2"/>
      <c r="I545" s="2"/>
      <c r="J545" s="2"/>
      <c r="K545" s="2"/>
      <c r="L545" s="2"/>
      <c r="M545" s="2"/>
      <c r="N545" s="2"/>
      <c r="O545" s="7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7"/>
      <c r="D546" s="7"/>
      <c r="E546" s="2"/>
      <c r="F546" s="24"/>
      <c r="G546" s="24"/>
      <c r="H546" s="2"/>
      <c r="I546" s="2"/>
      <c r="J546" s="2"/>
      <c r="K546" s="2"/>
      <c r="L546" s="2"/>
      <c r="M546" s="2"/>
      <c r="N546" s="2"/>
      <c r="O546" s="7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7"/>
      <c r="D547" s="7"/>
      <c r="E547" s="2"/>
      <c r="F547" s="24"/>
      <c r="G547" s="24"/>
      <c r="H547" s="2"/>
      <c r="I547" s="2"/>
      <c r="J547" s="2"/>
      <c r="K547" s="2"/>
      <c r="L547" s="2"/>
      <c r="M547" s="2"/>
      <c r="N547" s="2"/>
      <c r="O547" s="7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7"/>
      <c r="D548" s="7"/>
      <c r="E548" s="2"/>
      <c r="F548" s="24"/>
      <c r="G548" s="24"/>
      <c r="H548" s="2"/>
      <c r="I548" s="2"/>
      <c r="J548" s="2"/>
      <c r="K548" s="2"/>
      <c r="L548" s="2"/>
      <c r="M548" s="2"/>
      <c r="N548" s="2"/>
      <c r="O548" s="7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7"/>
      <c r="D549" s="7"/>
      <c r="E549" s="2"/>
      <c r="F549" s="24"/>
      <c r="G549" s="24"/>
      <c r="H549" s="2"/>
      <c r="I549" s="2"/>
      <c r="J549" s="2"/>
      <c r="K549" s="2"/>
      <c r="L549" s="2"/>
      <c r="M549" s="2"/>
      <c r="N549" s="2"/>
      <c r="O549" s="7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7"/>
      <c r="D550" s="7"/>
      <c r="E550" s="2"/>
      <c r="F550" s="24"/>
      <c r="G550" s="24"/>
      <c r="H550" s="2"/>
      <c r="I550" s="2"/>
      <c r="J550" s="2"/>
      <c r="K550" s="2"/>
      <c r="L550" s="2"/>
      <c r="M550" s="2"/>
      <c r="N550" s="2"/>
      <c r="O550" s="7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7"/>
      <c r="D551" s="7"/>
      <c r="E551" s="2"/>
      <c r="F551" s="24"/>
      <c r="G551" s="24"/>
      <c r="H551" s="2"/>
      <c r="I551" s="2"/>
      <c r="J551" s="2"/>
      <c r="K551" s="2"/>
      <c r="L551" s="2"/>
      <c r="M551" s="2"/>
      <c r="N551" s="2"/>
      <c r="O551" s="7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7"/>
      <c r="D552" s="7"/>
      <c r="E552" s="2"/>
      <c r="F552" s="24"/>
      <c r="G552" s="24"/>
      <c r="H552" s="2"/>
      <c r="I552" s="2"/>
      <c r="J552" s="2"/>
      <c r="K552" s="2"/>
      <c r="L552" s="2"/>
      <c r="M552" s="2"/>
      <c r="N552" s="2"/>
      <c r="O552" s="7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7"/>
      <c r="D553" s="7"/>
      <c r="E553" s="2"/>
      <c r="F553" s="24"/>
      <c r="G553" s="24"/>
      <c r="H553" s="2"/>
      <c r="I553" s="2"/>
      <c r="J553" s="2"/>
      <c r="K553" s="2"/>
      <c r="L553" s="2"/>
      <c r="M553" s="2"/>
      <c r="N553" s="2"/>
      <c r="O553" s="7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7"/>
      <c r="D554" s="7"/>
      <c r="E554" s="2"/>
      <c r="F554" s="24"/>
      <c r="G554" s="24"/>
      <c r="H554" s="2"/>
      <c r="I554" s="2"/>
      <c r="J554" s="2"/>
      <c r="K554" s="2"/>
      <c r="L554" s="2"/>
      <c r="M554" s="2"/>
      <c r="N554" s="2"/>
      <c r="O554" s="7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7"/>
      <c r="D555" s="7"/>
      <c r="E555" s="2"/>
      <c r="F555" s="24"/>
      <c r="G555" s="24"/>
      <c r="H555" s="2"/>
      <c r="I555" s="2"/>
      <c r="J555" s="2"/>
      <c r="K555" s="2"/>
      <c r="L555" s="2"/>
      <c r="M555" s="2"/>
      <c r="N555" s="2"/>
      <c r="O555" s="7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7"/>
      <c r="D556" s="7"/>
      <c r="E556" s="2"/>
      <c r="F556" s="24"/>
      <c r="G556" s="24"/>
      <c r="H556" s="2"/>
      <c r="I556" s="2"/>
      <c r="J556" s="2"/>
      <c r="K556" s="2"/>
      <c r="L556" s="2"/>
      <c r="M556" s="2"/>
      <c r="N556" s="2"/>
      <c r="O556" s="7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7"/>
      <c r="D557" s="7"/>
      <c r="E557" s="2"/>
      <c r="F557" s="24"/>
      <c r="G557" s="24"/>
      <c r="H557" s="2"/>
      <c r="I557" s="2"/>
      <c r="J557" s="2"/>
      <c r="K557" s="2"/>
      <c r="L557" s="2"/>
      <c r="M557" s="2"/>
      <c r="N557" s="2"/>
      <c r="O557" s="7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7"/>
      <c r="D558" s="7"/>
      <c r="E558" s="2"/>
      <c r="F558" s="24"/>
      <c r="G558" s="24"/>
      <c r="H558" s="2"/>
      <c r="I558" s="2"/>
      <c r="J558" s="2"/>
      <c r="K558" s="2"/>
      <c r="L558" s="2"/>
      <c r="M558" s="2"/>
      <c r="N558" s="2"/>
      <c r="O558" s="7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7"/>
      <c r="D559" s="7"/>
      <c r="E559" s="2"/>
      <c r="F559" s="24"/>
      <c r="G559" s="24"/>
      <c r="H559" s="2"/>
      <c r="I559" s="2"/>
      <c r="J559" s="2"/>
      <c r="K559" s="2"/>
      <c r="L559" s="2"/>
      <c r="M559" s="2"/>
      <c r="N559" s="2"/>
      <c r="O559" s="7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7"/>
      <c r="D560" s="7"/>
      <c r="E560" s="2"/>
      <c r="F560" s="24"/>
      <c r="G560" s="24"/>
      <c r="H560" s="2"/>
      <c r="I560" s="2"/>
      <c r="J560" s="2"/>
      <c r="K560" s="2"/>
      <c r="L560" s="2"/>
      <c r="M560" s="2"/>
      <c r="N560" s="2"/>
      <c r="O560" s="7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7"/>
      <c r="D561" s="7"/>
      <c r="E561" s="2"/>
      <c r="F561" s="24"/>
      <c r="G561" s="24"/>
      <c r="H561" s="2"/>
      <c r="I561" s="2"/>
      <c r="J561" s="2"/>
      <c r="K561" s="2"/>
      <c r="L561" s="2"/>
      <c r="M561" s="2"/>
      <c r="N561" s="2"/>
      <c r="O561" s="7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7"/>
      <c r="D562" s="7"/>
      <c r="E562" s="2"/>
      <c r="F562" s="24"/>
      <c r="G562" s="24"/>
      <c r="H562" s="2"/>
      <c r="I562" s="2"/>
      <c r="J562" s="2"/>
      <c r="K562" s="2"/>
      <c r="L562" s="2"/>
      <c r="M562" s="2"/>
      <c r="N562" s="2"/>
      <c r="O562" s="7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7"/>
      <c r="D563" s="7"/>
      <c r="E563" s="2"/>
      <c r="F563" s="24"/>
      <c r="G563" s="24"/>
      <c r="H563" s="2"/>
      <c r="I563" s="2"/>
      <c r="J563" s="2"/>
      <c r="K563" s="2"/>
      <c r="L563" s="2"/>
      <c r="M563" s="2"/>
      <c r="N563" s="2"/>
      <c r="O563" s="7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7"/>
      <c r="D564" s="7"/>
      <c r="E564" s="2"/>
      <c r="F564" s="24"/>
      <c r="G564" s="24"/>
      <c r="H564" s="2"/>
      <c r="I564" s="2"/>
      <c r="J564" s="2"/>
      <c r="K564" s="2"/>
      <c r="L564" s="2"/>
      <c r="M564" s="2"/>
      <c r="N564" s="2"/>
      <c r="O564" s="7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7"/>
      <c r="D565" s="7"/>
      <c r="E565" s="2"/>
      <c r="F565" s="24"/>
      <c r="G565" s="24"/>
      <c r="H565" s="2"/>
      <c r="I565" s="2"/>
      <c r="J565" s="2"/>
      <c r="K565" s="2"/>
      <c r="L565" s="2"/>
      <c r="M565" s="2"/>
      <c r="N565" s="2"/>
      <c r="O565" s="7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7"/>
      <c r="D566" s="7"/>
      <c r="E566" s="2"/>
      <c r="F566" s="24"/>
      <c r="G566" s="24"/>
      <c r="H566" s="2"/>
      <c r="I566" s="2"/>
      <c r="J566" s="2"/>
      <c r="K566" s="2"/>
      <c r="L566" s="2"/>
      <c r="M566" s="2"/>
      <c r="N566" s="2"/>
      <c r="O566" s="7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7"/>
      <c r="D567" s="7"/>
      <c r="E567" s="2"/>
      <c r="F567" s="24"/>
      <c r="G567" s="24"/>
      <c r="H567" s="2"/>
      <c r="I567" s="2"/>
      <c r="J567" s="2"/>
      <c r="K567" s="2"/>
      <c r="L567" s="2"/>
      <c r="M567" s="2"/>
      <c r="N567" s="2"/>
      <c r="O567" s="7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7"/>
      <c r="D568" s="7"/>
      <c r="E568" s="2"/>
      <c r="F568" s="24"/>
      <c r="G568" s="24"/>
      <c r="H568" s="2"/>
      <c r="I568" s="2"/>
      <c r="J568" s="2"/>
      <c r="K568" s="2"/>
      <c r="L568" s="2"/>
      <c r="M568" s="2"/>
      <c r="N568" s="2"/>
      <c r="O568" s="7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7"/>
      <c r="D569" s="7"/>
      <c r="E569" s="2"/>
      <c r="F569" s="24"/>
      <c r="G569" s="24"/>
      <c r="H569" s="2"/>
      <c r="I569" s="2"/>
      <c r="J569" s="2"/>
      <c r="K569" s="2"/>
      <c r="L569" s="2"/>
      <c r="M569" s="2"/>
      <c r="N569" s="2"/>
      <c r="O569" s="7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7"/>
      <c r="D570" s="7"/>
      <c r="E570" s="2"/>
      <c r="F570" s="24"/>
      <c r="G570" s="24"/>
      <c r="H570" s="2"/>
      <c r="I570" s="2"/>
      <c r="J570" s="2"/>
      <c r="K570" s="2"/>
      <c r="L570" s="2"/>
      <c r="M570" s="2"/>
      <c r="N570" s="2"/>
      <c r="O570" s="7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7"/>
      <c r="D571" s="7"/>
      <c r="E571" s="2"/>
      <c r="F571" s="24"/>
      <c r="G571" s="24"/>
      <c r="H571" s="2"/>
      <c r="I571" s="2"/>
      <c r="J571" s="2"/>
      <c r="K571" s="2"/>
      <c r="L571" s="2"/>
      <c r="M571" s="2"/>
      <c r="N571" s="2"/>
      <c r="O571" s="7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7"/>
      <c r="D572" s="7"/>
      <c r="E572" s="2"/>
      <c r="F572" s="24"/>
      <c r="G572" s="24"/>
      <c r="H572" s="2"/>
      <c r="I572" s="2"/>
      <c r="J572" s="2"/>
      <c r="K572" s="2"/>
      <c r="L572" s="2"/>
      <c r="M572" s="2"/>
      <c r="N572" s="2"/>
      <c r="O572" s="7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7"/>
      <c r="D573" s="7"/>
      <c r="E573" s="2"/>
      <c r="F573" s="24"/>
      <c r="G573" s="24"/>
      <c r="H573" s="2"/>
      <c r="I573" s="2"/>
      <c r="J573" s="2"/>
      <c r="K573" s="2"/>
      <c r="L573" s="2"/>
      <c r="M573" s="2"/>
      <c r="N573" s="2"/>
      <c r="O573" s="7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7"/>
      <c r="D574" s="7"/>
      <c r="E574" s="2"/>
      <c r="F574" s="24"/>
      <c r="G574" s="24"/>
      <c r="H574" s="2"/>
      <c r="I574" s="2"/>
      <c r="J574" s="2"/>
      <c r="K574" s="2"/>
      <c r="L574" s="2"/>
      <c r="M574" s="2"/>
      <c r="N574" s="2"/>
      <c r="O574" s="7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7"/>
      <c r="D575" s="7"/>
      <c r="E575" s="2"/>
      <c r="F575" s="24"/>
      <c r="G575" s="24"/>
      <c r="H575" s="2"/>
      <c r="I575" s="2"/>
      <c r="J575" s="2"/>
      <c r="K575" s="2"/>
      <c r="L575" s="2"/>
      <c r="M575" s="2"/>
      <c r="N575" s="2"/>
      <c r="O575" s="7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7"/>
      <c r="D576" s="7"/>
      <c r="E576" s="2"/>
      <c r="F576" s="24"/>
      <c r="G576" s="24"/>
      <c r="H576" s="2"/>
      <c r="I576" s="2"/>
      <c r="J576" s="2"/>
      <c r="K576" s="2"/>
      <c r="L576" s="2"/>
      <c r="M576" s="2"/>
      <c r="N576" s="2"/>
      <c r="O576" s="7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7"/>
      <c r="D577" s="7"/>
      <c r="E577" s="2"/>
      <c r="F577" s="24"/>
      <c r="G577" s="24"/>
      <c r="H577" s="2"/>
      <c r="I577" s="2"/>
      <c r="J577" s="2"/>
      <c r="K577" s="2"/>
      <c r="L577" s="2"/>
      <c r="M577" s="2"/>
      <c r="N577" s="2"/>
      <c r="O577" s="7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7"/>
      <c r="D578" s="7"/>
      <c r="E578" s="2"/>
      <c r="F578" s="24"/>
      <c r="G578" s="24"/>
      <c r="H578" s="2"/>
      <c r="I578" s="2"/>
      <c r="J578" s="2"/>
      <c r="K578" s="2"/>
      <c r="L578" s="2"/>
      <c r="M578" s="2"/>
      <c r="N578" s="2"/>
      <c r="O578" s="7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7"/>
      <c r="D579" s="7"/>
      <c r="E579" s="2"/>
      <c r="F579" s="24"/>
      <c r="G579" s="24"/>
      <c r="H579" s="2"/>
      <c r="I579" s="2"/>
      <c r="J579" s="2"/>
      <c r="K579" s="2"/>
      <c r="L579" s="2"/>
      <c r="M579" s="2"/>
      <c r="N579" s="2"/>
      <c r="O579" s="7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7"/>
      <c r="D580" s="7"/>
      <c r="E580" s="2"/>
      <c r="F580" s="24"/>
      <c r="G580" s="24"/>
      <c r="H580" s="2"/>
      <c r="I580" s="2"/>
      <c r="J580" s="2"/>
      <c r="K580" s="2"/>
      <c r="L580" s="2"/>
      <c r="M580" s="2"/>
      <c r="N580" s="2"/>
      <c r="O580" s="7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7"/>
      <c r="D581" s="7"/>
      <c r="E581" s="2"/>
      <c r="F581" s="24"/>
      <c r="G581" s="24"/>
      <c r="H581" s="2"/>
      <c r="I581" s="2"/>
      <c r="J581" s="2"/>
      <c r="K581" s="2"/>
      <c r="L581" s="2"/>
      <c r="M581" s="2"/>
      <c r="N581" s="2"/>
      <c r="O581" s="7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7"/>
      <c r="D582" s="7"/>
      <c r="E582" s="2"/>
      <c r="F582" s="24"/>
      <c r="G582" s="24"/>
      <c r="H582" s="2"/>
      <c r="I582" s="2"/>
      <c r="J582" s="2"/>
      <c r="K582" s="2"/>
      <c r="L582" s="2"/>
      <c r="M582" s="2"/>
      <c r="N582" s="2"/>
      <c r="O582" s="7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7"/>
      <c r="D583" s="7"/>
      <c r="E583" s="2"/>
      <c r="F583" s="24"/>
      <c r="G583" s="24"/>
      <c r="H583" s="2"/>
      <c r="I583" s="2"/>
      <c r="J583" s="2"/>
      <c r="K583" s="2"/>
      <c r="L583" s="2"/>
      <c r="M583" s="2"/>
      <c r="N583" s="2"/>
      <c r="O583" s="7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7"/>
      <c r="D584" s="7"/>
      <c r="E584" s="2"/>
      <c r="F584" s="24"/>
      <c r="G584" s="24"/>
      <c r="H584" s="2"/>
      <c r="I584" s="2"/>
      <c r="J584" s="2"/>
      <c r="K584" s="2"/>
      <c r="L584" s="2"/>
      <c r="M584" s="2"/>
      <c r="N584" s="2"/>
      <c r="O584" s="7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7"/>
      <c r="D585" s="7"/>
      <c r="E585" s="2"/>
      <c r="F585" s="24"/>
      <c r="G585" s="24"/>
      <c r="H585" s="2"/>
      <c r="I585" s="2"/>
      <c r="J585" s="2"/>
      <c r="K585" s="2"/>
      <c r="L585" s="2"/>
      <c r="M585" s="2"/>
      <c r="N585" s="2"/>
      <c r="O585" s="7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7"/>
      <c r="D586" s="7"/>
      <c r="E586" s="2"/>
      <c r="F586" s="24"/>
      <c r="G586" s="24"/>
      <c r="H586" s="2"/>
      <c r="I586" s="2"/>
      <c r="J586" s="2"/>
      <c r="K586" s="2"/>
      <c r="L586" s="2"/>
      <c r="M586" s="2"/>
      <c r="N586" s="2"/>
      <c r="O586" s="7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7"/>
      <c r="D587" s="7"/>
      <c r="E587" s="2"/>
      <c r="F587" s="24"/>
      <c r="G587" s="24"/>
      <c r="H587" s="2"/>
      <c r="I587" s="2"/>
      <c r="J587" s="2"/>
      <c r="K587" s="2"/>
      <c r="L587" s="2"/>
      <c r="M587" s="2"/>
      <c r="N587" s="2"/>
      <c r="O587" s="7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7"/>
      <c r="D588" s="7"/>
      <c r="E588" s="2"/>
      <c r="F588" s="24"/>
      <c r="G588" s="24"/>
      <c r="H588" s="2"/>
      <c r="I588" s="2"/>
      <c r="J588" s="2"/>
      <c r="K588" s="2"/>
      <c r="L588" s="2"/>
      <c r="M588" s="2"/>
      <c r="N588" s="2"/>
      <c r="O588" s="7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7"/>
      <c r="D589" s="7"/>
      <c r="E589" s="2"/>
      <c r="F589" s="24"/>
      <c r="G589" s="24"/>
      <c r="H589" s="2"/>
      <c r="I589" s="2"/>
      <c r="J589" s="2"/>
      <c r="K589" s="2"/>
      <c r="L589" s="2"/>
      <c r="M589" s="2"/>
      <c r="N589" s="2"/>
      <c r="O589" s="7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7"/>
      <c r="D590" s="7"/>
      <c r="E590" s="2"/>
      <c r="F590" s="24"/>
      <c r="G590" s="24"/>
      <c r="H590" s="2"/>
      <c r="I590" s="2"/>
      <c r="J590" s="2"/>
      <c r="K590" s="2"/>
      <c r="L590" s="2"/>
      <c r="M590" s="2"/>
      <c r="N590" s="2"/>
      <c r="O590" s="7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7"/>
      <c r="D591" s="7"/>
      <c r="E591" s="2"/>
      <c r="F591" s="24"/>
      <c r="G591" s="24"/>
      <c r="H591" s="2"/>
      <c r="I591" s="2"/>
      <c r="J591" s="2"/>
      <c r="K591" s="2"/>
      <c r="L591" s="2"/>
      <c r="M591" s="2"/>
      <c r="N591" s="2"/>
      <c r="O591" s="7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7"/>
      <c r="D592" s="7"/>
      <c r="E592" s="2"/>
      <c r="F592" s="24"/>
      <c r="G592" s="24"/>
      <c r="H592" s="2"/>
      <c r="I592" s="2"/>
      <c r="J592" s="2"/>
      <c r="K592" s="2"/>
      <c r="L592" s="2"/>
      <c r="M592" s="2"/>
      <c r="N592" s="2"/>
      <c r="O592" s="7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7"/>
      <c r="D593" s="7"/>
      <c r="E593" s="2"/>
      <c r="F593" s="24"/>
      <c r="G593" s="24"/>
      <c r="H593" s="2"/>
      <c r="I593" s="2"/>
      <c r="J593" s="2"/>
      <c r="K593" s="2"/>
      <c r="L593" s="2"/>
      <c r="M593" s="2"/>
      <c r="N593" s="2"/>
      <c r="O593" s="7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7"/>
      <c r="D594" s="7"/>
      <c r="E594" s="2"/>
      <c r="F594" s="24"/>
      <c r="G594" s="24"/>
      <c r="H594" s="2"/>
      <c r="I594" s="2"/>
      <c r="J594" s="2"/>
      <c r="K594" s="2"/>
      <c r="L594" s="2"/>
      <c r="M594" s="2"/>
      <c r="N594" s="2"/>
      <c r="O594" s="7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7"/>
      <c r="D595" s="7"/>
      <c r="E595" s="2"/>
      <c r="F595" s="24"/>
      <c r="G595" s="24"/>
      <c r="H595" s="2"/>
      <c r="I595" s="2"/>
      <c r="J595" s="2"/>
      <c r="K595" s="2"/>
      <c r="L595" s="2"/>
      <c r="M595" s="2"/>
      <c r="N595" s="2"/>
      <c r="O595" s="7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7"/>
      <c r="D596" s="7"/>
      <c r="E596" s="2"/>
      <c r="F596" s="24"/>
      <c r="G596" s="24"/>
      <c r="H596" s="2"/>
      <c r="I596" s="2"/>
      <c r="J596" s="2"/>
      <c r="K596" s="2"/>
      <c r="L596" s="2"/>
      <c r="M596" s="2"/>
      <c r="N596" s="2"/>
      <c r="O596" s="7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7"/>
      <c r="D597" s="7"/>
      <c r="E597" s="2"/>
      <c r="F597" s="24"/>
      <c r="G597" s="24"/>
      <c r="H597" s="2"/>
      <c r="I597" s="2"/>
      <c r="J597" s="2"/>
      <c r="K597" s="2"/>
      <c r="L597" s="2"/>
      <c r="M597" s="2"/>
      <c r="N597" s="2"/>
      <c r="O597" s="7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7"/>
      <c r="D598" s="7"/>
      <c r="E598" s="2"/>
      <c r="F598" s="24"/>
      <c r="G598" s="24"/>
      <c r="H598" s="2"/>
      <c r="I598" s="2"/>
      <c r="J598" s="2"/>
      <c r="K598" s="2"/>
      <c r="L598" s="2"/>
      <c r="M598" s="2"/>
      <c r="N598" s="2"/>
      <c r="O598" s="7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7"/>
      <c r="D599" s="7"/>
      <c r="E599" s="2"/>
      <c r="F599" s="24"/>
      <c r="G599" s="24"/>
      <c r="H599" s="2"/>
      <c r="I599" s="2"/>
      <c r="J599" s="2"/>
      <c r="K599" s="2"/>
      <c r="L599" s="2"/>
      <c r="M599" s="2"/>
      <c r="N599" s="2"/>
      <c r="O599" s="7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7"/>
      <c r="D600" s="7"/>
      <c r="E600" s="2"/>
      <c r="F600" s="24"/>
      <c r="G600" s="24"/>
      <c r="H600" s="2"/>
      <c r="I600" s="2"/>
      <c r="J600" s="2"/>
      <c r="K600" s="2"/>
      <c r="L600" s="2"/>
      <c r="M600" s="2"/>
      <c r="N600" s="2"/>
      <c r="O600" s="7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7"/>
      <c r="D601" s="7"/>
      <c r="E601" s="2"/>
      <c r="F601" s="24"/>
      <c r="G601" s="24"/>
      <c r="H601" s="2"/>
      <c r="I601" s="2"/>
      <c r="J601" s="2"/>
      <c r="K601" s="2"/>
      <c r="L601" s="2"/>
      <c r="M601" s="2"/>
      <c r="N601" s="2"/>
      <c r="O601" s="7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7"/>
      <c r="D602" s="7"/>
      <c r="E602" s="2"/>
      <c r="F602" s="24"/>
      <c r="G602" s="24"/>
      <c r="H602" s="2"/>
      <c r="I602" s="2"/>
      <c r="J602" s="2"/>
      <c r="K602" s="2"/>
      <c r="L602" s="2"/>
      <c r="M602" s="2"/>
      <c r="N602" s="2"/>
      <c r="O602" s="7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7"/>
      <c r="D603" s="7"/>
      <c r="E603" s="2"/>
      <c r="F603" s="24"/>
      <c r="G603" s="24"/>
      <c r="H603" s="2"/>
      <c r="I603" s="2"/>
      <c r="J603" s="2"/>
      <c r="K603" s="2"/>
      <c r="L603" s="2"/>
      <c r="M603" s="2"/>
      <c r="N603" s="2"/>
      <c r="O603" s="7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7"/>
      <c r="D604" s="7"/>
      <c r="E604" s="2"/>
      <c r="F604" s="24"/>
      <c r="G604" s="24"/>
      <c r="H604" s="2"/>
      <c r="I604" s="2"/>
      <c r="J604" s="2"/>
      <c r="K604" s="2"/>
      <c r="L604" s="2"/>
      <c r="M604" s="2"/>
      <c r="N604" s="2"/>
      <c r="O604" s="7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7"/>
      <c r="D605" s="7"/>
      <c r="E605" s="2"/>
      <c r="F605" s="24"/>
      <c r="G605" s="24"/>
      <c r="H605" s="2"/>
      <c r="I605" s="2"/>
      <c r="J605" s="2"/>
      <c r="K605" s="2"/>
      <c r="L605" s="2"/>
      <c r="M605" s="2"/>
      <c r="N605" s="2"/>
      <c r="O605" s="7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7"/>
      <c r="D606" s="7"/>
      <c r="E606" s="2"/>
      <c r="F606" s="24"/>
      <c r="G606" s="24"/>
      <c r="H606" s="2"/>
      <c r="I606" s="2"/>
      <c r="J606" s="2"/>
      <c r="K606" s="2"/>
      <c r="L606" s="2"/>
      <c r="M606" s="2"/>
      <c r="N606" s="2"/>
      <c r="O606" s="7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7"/>
      <c r="D607" s="7"/>
      <c r="E607" s="2"/>
      <c r="F607" s="24"/>
      <c r="G607" s="24"/>
      <c r="H607" s="2"/>
      <c r="I607" s="2"/>
      <c r="J607" s="2"/>
      <c r="K607" s="2"/>
      <c r="L607" s="2"/>
      <c r="M607" s="2"/>
      <c r="N607" s="2"/>
      <c r="O607" s="7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7"/>
      <c r="D608" s="7"/>
      <c r="E608" s="2"/>
      <c r="F608" s="24"/>
      <c r="G608" s="24"/>
      <c r="H608" s="2"/>
      <c r="I608" s="2"/>
      <c r="J608" s="2"/>
      <c r="K608" s="2"/>
      <c r="L608" s="2"/>
      <c r="M608" s="2"/>
      <c r="N608" s="2"/>
      <c r="O608" s="7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7"/>
      <c r="D609" s="7"/>
      <c r="E609" s="2"/>
      <c r="F609" s="24"/>
      <c r="G609" s="24"/>
      <c r="H609" s="2"/>
      <c r="I609" s="2"/>
      <c r="J609" s="2"/>
      <c r="K609" s="2"/>
      <c r="L609" s="2"/>
      <c r="M609" s="2"/>
      <c r="N609" s="2"/>
      <c r="O609" s="7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7"/>
      <c r="D610" s="7"/>
      <c r="E610" s="2"/>
      <c r="F610" s="24"/>
      <c r="G610" s="24"/>
      <c r="H610" s="2"/>
      <c r="I610" s="2"/>
      <c r="J610" s="2"/>
      <c r="K610" s="2"/>
      <c r="L610" s="2"/>
      <c r="M610" s="2"/>
      <c r="N610" s="2"/>
      <c r="O610" s="7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7"/>
      <c r="D611" s="7"/>
      <c r="E611" s="2"/>
      <c r="F611" s="24"/>
      <c r="G611" s="24"/>
      <c r="H611" s="2"/>
      <c r="I611" s="2"/>
      <c r="J611" s="2"/>
      <c r="K611" s="2"/>
      <c r="L611" s="2"/>
      <c r="M611" s="2"/>
      <c r="N611" s="2"/>
      <c r="O611" s="7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7"/>
      <c r="D612" s="7"/>
      <c r="E612" s="2"/>
      <c r="F612" s="24"/>
      <c r="G612" s="24"/>
      <c r="H612" s="2"/>
      <c r="I612" s="2"/>
      <c r="J612" s="2"/>
      <c r="K612" s="2"/>
      <c r="L612" s="2"/>
      <c r="M612" s="2"/>
      <c r="N612" s="2"/>
      <c r="O612" s="7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7"/>
      <c r="D613" s="7"/>
      <c r="E613" s="2"/>
      <c r="F613" s="24"/>
      <c r="G613" s="24"/>
      <c r="H613" s="2"/>
      <c r="I613" s="2"/>
      <c r="J613" s="2"/>
      <c r="K613" s="2"/>
      <c r="L613" s="2"/>
      <c r="M613" s="2"/>
      <c r="N613" s="2"/>
      <c r="O613" s="7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7"/>
      <c r="D614" s="7"/>
      <c r="E614" s="2"/>
      <c r="F614" s="24"/>
      <c r="G614" s="24"/>
      <c r="H614" s="2"/>
      <c r="I614" s="2"/>
      <c r="J614" s="2"/>
      <c r="K614" s="2"/>
      <c r="L614" s="2"/>
      <c r="M614" s="2"/>
      <c r="N614" s="2"/>
      <c r="O614" s="7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7"/>
      <c r="D615" s="7"/>
      <c r="E615" s="2"/>
      <c r="F615" s="24"/>
      <c r="G615" s="24"/>
      <c r="H615" s="2"/>
      <c r="I615" s="2"/>
      <c r="J615" s="2"/>
      <c r="K615" s="2"/>
      <c r="L615" s="2"/>
      <c r="M615" s="2"/>
      <c r="N615" s="2"/>
      <c r="O615" s="7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7"/>
      <c r="D616" s="7"/>
      <c r="E616" s="2"/>
      <c r="F616" s="24"/>
      <c r="G616" s="24"/>
      <c r="H616" s="2"/>
      <c r="I616" s="2"/>
      <c r="J616" s="2"/>
      <c r="K616" s="2"/>
      <c r="L616" s="2"/>
      <c r="M616" s="2"/>
      <c r="N616" s="2"/>
      <c r="O616" s="7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7"/>
      <c r="D617" s="7"/>
      <c r="E617" s="2"/>
      <c r="F617" s="24"/>
      <c r="G617" s="24"/>
      <c r="H617" s="2"/>
      <c r="I617" s="2"/>
      <c r="J617" s="2"/>
      <c r="K617" s="2"/>
      <c r="L617" s="2"/>
      <c r="M617" s="2"/>
      <c r="N617" s="2"/>
      <c r="O617" s="7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7"/>
      <c r="D618" s="7"/>
      <c r="E618" s="2"/>
      <c r="F618" s="24"/>
      <c r="G618" s="24"/>
      <c r="H618" s="2"/>
      <c r="I618" s="2"/>
      <c r="J618" s="2"/>
      <c r="K618" s="2"/>
      <c r="L618" s="2"/>
      <c r="M618" s="2"/>
      <c r="N618" s="2"/>
      <c r="O618" s="7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7"/>
      <c r="D619" s="7"/>
      <c r="E619" s="2"/>
      <c r="F619" s="24"/>
      <c r="G619" s="24"/>
      <c r="H619" s="2"/>
      <c r="I619" s="2"/>
      <c r="J619" s="2"/>
      <c r="K619" s="2"/>
      <c r="L619" s="2"/>
      <c r="M619" s="2"/>
      <c r="N619" s="2"/>
      <c r="O619" s="7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7"/>
      <c r="D620" s="7"/>
      <c r="E620" s="2"/>
      <c r="F620" s="24"/>
      <c r="G620" s="24"/>
      <c r="H620" s="2"/>
      <c r="I620" s="2"/>
      <c r="J620" s="2"/>
      <c r="K620" s="2"/>
      <c r="L620" s="2"/>
      <c r="M620" s="2"/>
      <c r="N620" s="2"/>
      <c r="O620" s="7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7"/>
      <c r="D621" s="7"/>
      <c r="E621" s="2"/>
      <c r="F621" s="24"/>
      <c r="G621" s="24"/>
      <c r="H621" s="2"/>
      <c r="I621" s="2"/>
      <c r="J621" s="2"/>
      <c r="K621" s="2"/>
      <c r="L621" s="2"/>
      <c r="M621" s="2"/>
      <c r="N621" s="2"/>
      <c r="O621" s="7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7"/>
      <c r="D622" s="7"/>
      <c r="E622" s="2"/>
      <c r="F622" s="24"/>
      <c r="G622" s="24"/>
      <c r="H622" s="2"/>
      <c r="I622" s="2"/>
      <c r="J622" s="2"/>
      <c r="K622" s="2"/>
      <c r="L622" s="2"/>
      <c r="M622" s="2"/>
      <c r="N622" s="2"/>
      <c r="O622" s="7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7"/>
      <c r="D623" s="7"/>
      <c r="E623" s="2"/>
      <c r="F623" s="24"/>
      <c r="G623" s="24"/>
      <c r="H623" s="2"/>
      <c r="I623" s="2"/>
      <c r="J623" s="2"/>
      <c r="K623" s="2"/>
      <c r="L623" s="2"/>
      <c r="M623" s="2"/>
      <c r="N623" s="2"/>
      <c r="O623" s="7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7"/>
      <c r="D624" s="7"/>
      <c r="E624" s="2"/>
      <c r="F624" s="24"/>
      <c r="G624" s="24"/>
      <c r="H624" s="2"/>
      <c r="I624" s="2"/>
      <c r="J624" s="2"/>
      <c r="K624" s="2"/>
      <c r="L624" s="2"/>
      <c r="M624" s="2"/>
      <c r="N624" s="2"/>
      <c r="O624" s="7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7"/>
      <c r="D625" s="7"/>
      <c r="E625" s="2"/>
      <c r="F625" s="24"/>
      <c r="G625" s="24"/>
      <c r="H625" s="2"/>
      <c r="I625" s="2"/>
      <c r="J625" s="2"/>
      <c r="K625" s="2"/>
      <c r="L625" s="2"/>
      <c r="M625" s="2"/>
      <c r="N625" s="2"/>
      <c r="O625" s="7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7"/>
      <c r="D626" s="7"/>
      <c r="E626" s="2"/>
      <c r="F626" s="24"/>
      <c r="G626" s="24"/>
      <c r="H626" s="2"/>
      <c r="I626" s="2"/>
      <c r="J626" s="2"/>
      <c r="K626" s="2"/>
      <c r="L626" s="2"/>
      <c r="M626" s="2"/>
      <c r="N626" s="2"/>
      <c r="O626" s="7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7"/>
      <c r="D627" s="7"/>
      <c r="E627" s="2"/>
      <c r="F627" s="24"/>
      <c r="G627" s="24"/>
      <c r="H627" s="2"/>
      <c r="I627" s="2"/>
      <c r="J627" s="2"/>
      <c r="K627" s="2"/>
      <c r="L627" s="2"/>
      <c r="M627" s="2"/>
      <c r="N627" s="2"/>
      <c r="O627" s="7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7"/>
      <c r="D628" s="7"/>
      <c r="E628" s="2"/>
      <c r="F628" s="24"/>
      <c r="G628" s="24"/>
      <c r="H628" s="2"/>
      <c r="I628" s="2"/>
      <c r="J628" s="2"/>
      <c r="K628" s="2"/>
      <c r="L628" s="2"/>
      <c r="M628" s="2"/>
      <c r="N628" s="2"/>
      <c r="O628" s="7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7"/>
      <c r="D629" s="7"/>
      <c r="E629" s="2"/>
      <c r="F629" s="24"/>
      <c r="G629" s="24"/>
      <c r="H629" s="2"/>
      <c r="I629" s="2"/>
      <c r="J629" s="2"/>
      <c r="K629" s="2"/>
      <c r="L629" s="2"/>
      <c r="M629" s="2"/>
      <c r="N629" s="2"/>
      <c r="O629" s="7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7"/>
      <c r="D630" s="7"/>
      <c r="E630" s="2"/>
      <c r="F630" s="24"/>
      <c r="G630" s="24"/>
      <c r="H630" s="2"/>
      <c r="I630" s="2"/>
      <c r="J630" s="2"/>
      <c r="K630" s="2"/>
      <c r="L630" s="2"/>
      <c r="M630" s="2"/>
      <c r="N630" s="2"/>
      <c r="O630" s="7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7"/>
      <c r="D631" s="7"/>
      <c r="E631" s="2"/>
      <c r="F631" s="24"/>
      <c r="G631" s="24"/>
      <c r="H631" s="2"/>
      <c r="I631" s="2"/>
      <c r="J631" s="2"/>
      <c r="K631" s="2"/>
      <c r="L631" s="2"/>
      <c r="M631" s="2"/>
      <c r="N631" s="2"/>
      <c r="O631" s="7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7"/>
      <c r="D632" s="7"/>
      <c r="E632" s="2"/>
      <c r="F632" s="24"/>
      <c r="G632" s="24"/>
      <c r="H632" s="2"/>
      <c r="I632" s="2"/>
      <c r="J632" s="2"/>
      <c r="K632" s="2"/>
      <c r="L632" s="2"/>
      <c r="M632" s="2"/>
      <c r="N632" s="2"/>
      <c r="O632" s="7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7"/>
      <c r="D633" s="7"/>
      <c r="E633" s="2"/>
      <c r="F633" s="24"/>
      <c r="G633" s="24"/>
      <c r="H633" s="2"/>
      <c r="I633" s="2"/>
      <c r="J633" s="2"/>
      <c r="K633" s="2"/>
      <c r="L633" s="2"/>
      <c r="M633" s="2"/>
      <c r="N633" s="2"/>
      <c r="O633" s="7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7"/>
      <c r="D634" s="7"/>
      <c r="E634" s="2"/>
      <c r="F634" s="24"/>
      <c r="G634" s="24"/>
      <c r="H634" s="2"/>
      <c r="I634" s="2"/>
      <c r="J634" s="2"/>
      <c r="K634" s="2"/>
      <c r="L634" s="2"/>
      <c r="M634" s="2"/>
      <c r="N634" s="2"/>
      <c r="O634" s="7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7"/>
      <c r="D635" s="7"/>
      <c r="E635" s="2"/>
      <c r="F635" s="24"/>
      <c r="G635" s="24"/>
      <c r="H635" s="2"/>
      <c r="I635" s="2"/>
      <c r="J635" s="2"/>
      <c r="K635" s="2"/>
      <c r="L635" s="2"/>
      <c r="M635" s="2"/>
      <c r="N635" s="2"/>
      <c r="O635" s="7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7"/>
      <c r="D636" s="7"/>
      <c r="E636" s="2"/>
      <c r="F636" s="24"/>
      <c r="G636" s="24"/>
      <c r="H636" s="2"/>
      <c r="I636" s="2"/>
      <c r="J636" s="2"/>
      <c r="K636" s="2"/>
      <c r="L636" s="2"/>
      <c r="M636" s="2"/>
      <c r="N636" s="2"/>
      <c r="O636" s="7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7"/>
      <c r="D637" s="7"/>
      <c r="E637" s="2"/>
      <c r="F637" s="24"/>
      <c r="G637" s="24"/>
      <c r="H637" s="2"/>
      <c r="I637" s="2"/>
      <c r="J637" s="2"/>
      <c r="K637" s="2"/>
      <c r="L637" s="2"/>
      <c r="M637" s="2"/>
      <c r="N637" s="2"/>
      <c r="O637" s="7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7"/>
      <c r="D638" s="7"/>
      <c r="E638" s="2"/>
      <c r="F638" s="24"/>
      <c r="G638" s="24"/>
      <c r="H638" s="2"/>
      <c r="I638" s="2"/>
      <c r="J638" s="2"/>
      <c r="K638" s="2"/>
      <c r="L638" s="2"/>
      <c r="M638" s="2"/>
      <c r="N638" s="2"/>
      <c r="O638" s="7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7"/>
      <c r="D639" s="7"/>
      <c r="E639" s="2"/>
      <c r="F639" s="24"/>
      <c r="G639" s="24"/>
      <c r="H639" s="2"/>
      <c r="I639" s="2"/>
      <c r="J639" s="2"/>
      <c r="K639" s="2"/>
      <c r="L639" s="2"/>
      <c r="M639" s="2"/>
      <c r="N639" s="2"/>
      <c r="O639" s="7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7"/>
      <c r="D640" s="7"/>
      <c r="E640" s="2"/>
      <c r="F640" s="24"/>
      <c r="G640" s="24"/>
      <c r="H640" s="2"/>
      <c r="I640" s="2"/>
      <c r="J640" s="2"/>
      <c r="K640" s="2"/>
      <c r="L640" s="2"/>
      <c r="M640" s="2"/>
      <c r="N640" s="2"/>
      <c r="O640" s="7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7"/>
      <c r="D641" s="7"/>
      <c r="E641" s="2"/>
      <c r="F641" s="24"/>
      <c r="G641" s="24"/>
      <c r="H641" s="2"/>
      <c r="I641" s="2"/>
      <c r="J641" s="2"/>
      <c r="K641" s="2"/>
      <c r="L641" s="2"/>
      <c r="M641" s="2"/>
      <c r="N641" s="2"/>
      <c r="O641" s="7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7"/>
      <c r="D642" s="7"/>
      <c r="E642" s="2"/>
      <c r="F642" s="24"/>
      <c r="G642" s="24"/>
      <c r="H642" s="2"/>
      <c r="I642" s="2"/>
      <c r="J642" s="2"/>
      <c r="K642" s="2"/>
      <c r="L642" s="2"/>
      <c r="M642" s="2"/>
      <c r="N642" s="2"/>
      <c r="O642" s="7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7"/>
      <c r="D643" s="7"/>
      <c r="E643" s="2"/>
      <c r="F643" s="24"/>
      <c r="G643" s="24"/>
      <c r="H643" s="2"/>
      <c r="I643" s="2"/>
      <c r="J643" s="2"/>
      <c r="K643" s="2"/>
      <c r="L643" s="2"/>
      <c r="M643" s="2"/>
      <c r="N643" s="2"/>
      <c r="O643" s="7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7"/>
      <c r="D644" s="7"/>
      <c r="E644" s="2"/>
      <c r="F644" s="24"/>
      <c r="G644" s="24"/>
      <c r="H644" s="2"/>
      <c r="I644" s="2"/>
      <c r="J644" s="2"/>
      <c r="K644" s="2"/>
      <c r="L644" s="2"/>
      <c r="M644" s="2"/>
      <c r="N644" s="2"/>
      <c r="O644" s="7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7"/>
      <c r="D645" s="7"/>
      <c r="E645" s="2"/>
      <c r="F645" s="24"/>
      <c r="G645" s="24"/>
      <c r="H645" s="2"/>
      <c r="I645" s="2"/>
      <c r="J645" s="2"/>
      <c r="K645" s="2"/>
      <c r="L645" s="2"/>
      <c r="M645" s="2"/>
      <c r="N645" s="2"/>
      <c r="O645" s="7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7"/>
      <c r="D646" s="7"/>
      <c r="E646" s="2"/>
      <c r="F646" s="24"/>
      <c r="G646" s="24"/>
      <c r="H646" s="2"/>
      <c r="I646" s="2"/>
      <c r="J646" s="2"/>
      <c r="K646" s="2"/>
      <c r="L646" s="2"/>
      <c r="M646" s="2"/>
      <c r="N646" s="2"/>
      <c r="O646" s="7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7"/>
      <c r="D647" s="7"/>
      <c r="E647" s="2"/>
      <c r="F647" s="24"/>
      <c r="G647" s="24"/>
      <c r="H647" s="2"/>
      <c r="I647" s="2"/>
      <c r="J647" s="2"/>
      <c r="K647" s="2"/>
      <c r="L647" s="2"/>
      <c r="M647" s="2"/>
      <c r="N647" s="2"/>
      <c r="O647" s="7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7"/>
      <c r="D648" s="7"/>
      <c r="E648" s="2"/>
      <c r="F648" s="24"/>
      <c r="G648" s="24"/>
      <c r="H648" s="2"/>
      <c r="I648" s="2"/>
      <c r="J648" s="2"/>
      <c r="K648" s="2"/>
      <c r="L648" s="2"/>
      <c r="M648" s="2"/>
      <c r="N648" s="2"/>
      <c r="O648" s="7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7"/>
      <c r="D649" s="7"/>
      <c r="E649" s="2"/>
      <c r="F649" s="24"/>
      <c r="G649" s="24"/>
      <c r="H649" s="2"/>
      <c r="I649" s="2"/>
      <c r="J649" s="2"/>
      <c r="K649" s="2"/>
      <c r="L649" s="2"/>
      <c r="M649" s="2"/>
      <c r="N649" s="2"/>
      <c r="O649" s="7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7"/>
      <c r="D650" s="7"/>
      <c r="E650" s="2"/>
      <c r="F650" s="24"/>
      <c r="G650" s="24"/>
      <c r="H650" s="2"/>
      <c r="I650" s="2"/>
      <c r="J650" s="2"/>
      <c r="K650" s="2"/>
      <c r="L650" s="2"/>
      <c r="M650" s="2"/>
      <c r="N650" s="2"/>
      <c r="O650" s="7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7"/>
      <c r="D651" s="7"/>
      <c r="E651" s="2"/>
      <c r="F651" s="24"/>
      <c r="G651" s="24"/>
      <c r="H651" s="2"/>
      <c r="I651" s="2"/>
      <c r="J651" s="2"/>
      <c r="K651" s="2"/>
      <c r="L651" s="2"/>
      <c r="M651" s="2"/>
      <c r="N651" s="2"/>
      <c r="O651" s="7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7"/>
      <c r="D652" s="7"/>
      <c r="E652" s="2"/>
      <c r="F652" s="24"/>
      <c r="G652" s="24"/>
      <c r="H652" s="2"/>
      <c r="I652" s="2"/>
      <c r="J652" s="2"/>
      <c r="K652" s="2"/>
      <c r="L652" s="2"/>
      <c r="M652" s="2"/>
      <c r="N652" s="2"/>
      <c r="O652" s="7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7"/>
      <c r="D653" s="7"/>
      <c r="E653" s="2"/>
      <c r="F653" s="24"/>
      <c r="G653" s="24"/>
      <c r="H653" s="2"/>
      <c r="I653" s="2"/>
      <c r="J653" s="2"/>
      <c r="K653" s="2"/>
      <c r="L653" s="2"/>
      <c r="M653" s="2"/>
      <c r="N653" s="2"/>
      <c r="O653" s="7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7"/>
      <c r="D654" s="7"/>
      <c r="E654" s="2"/>
      <c r="F654" s="24"/>
      <c r="G654" s="24"/>
      <c r="H654" s="2"/>
      <c r="I654" s="2"/>
      <c r="J654" s="2"/>
      <c r="K654" s="2"/>
      <c r="L654" s="2"/>
      <c r="M654" s="2"/>
      <c r="N654" s="2"/>
      <c r="O654" s="7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7"/>
      <c r="D655" s="7"/>
      <c r="E655" s="2"/>
      <c r="F655" s="24"/>
      <c r="G655" s="24"/>
      <c r="H655" s="2"/>
      <c r="I655" s="2"/>
      <c r="J655" s="2"/>
      <c r="K655" s="2"/>
      <c r="L655" s="2"/>
      <c r="M655" s="2"/>
      <c r="N655" s="2"/>
      <c r="O655" s="7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7"/>
      <c r="D656" s="7"/>
      <c r="E656" s="2"/>
      <c r="F656" s="24"/>
      <c r="G656" s="24"/>
      <c r="H656" s="2"/>
      <c r="I656" s="2"/>
      <c r="J656" s="2"/>
      <c r="K656" s="2"/>
      <c r="L656" s="2"/>
      <c r="M656" s="2"/>
      <c r="N656" s="2"/>
      <c r="O656" s="7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7"/>
      <c r="D657" s="7"/>
      <c r="E657" s="2"/>
      <c r="F657" s="24"/>
      <c r="G657" s="24"/>
      <c r="H657" s="2"/>
      <c r="I657" s="2"/>
      <c r="J657" s="2"/>
      <c r="K657" s="2"/>
      <c r="L657" s="2"/>
      <c r="M657" s="2"/>
      <c r="N657" s="2"/>
      <c r="O657" s="7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7"/>
      <c r="D658" s="7"/>
      <c r="E658" s="2"/>
      <c r="F658" s="24"/>
      <c r="G658" s="24"/>
      <c r="H658" s="2"/>
      <c r="I658" s="2"/>
      <c r="J658" s="2"/>
      <c r="K658" s="2"/>
      <c r="L658" s="2"/>
      <c r="M658" s="2"/>
      <c r="N658" s="2"/>
      <c r="O658" s="7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7"/>
      <c r="D659" s="7"/>
      <c r="E659" s="2"/>
      <c r="F659" s="24"/>
      <c r="G659" s="24"/>
      <c r="H659" s="2"/>
      <c r="I659" s="2"/>
      <c r="J659" s="2"/>
      <c r="K659" s="2"/>
      <c r="L659" s="2"/>
      <c r="M659" s="2"/>
      <c r="N659" s="2"/>
      <c r="O659" s="7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7"/>
      <c r="D660" s="7"/>
      <c r="E660" s="2"/>
      <c r="F660" s="24"/>
      <c r="G660" s="24"/>
      <c r="H660" s="2"/>
      <c r="I660" s="2"/>
      <c r="J660" s="2"/>
      <c r="K660" s="2"/>
      <c r="L660" s="2"/>
      <c r="M660" s="2"/>
      <c r="N660" s="2"/>
      <c r="O660" s="7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7"/>
      <c r="D661" s="7"/>
      <c r="E661" s="2"/>
      <c r="F661" s="24"/>
      <c r="G661" s="24"/>
      <c r="H661" s="2"/>
      <c r="I661" s="2"/>
      <c r="J661" s="2"/>
      <c r="K661" s="2"/>
      <c r="L661" s="2"/>
      <c r="M661" s="2"/>
      <c r="N661" s="2"/>
      <c r="O661" s="7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7"/>
      <c r="D662" s="7"/>
      <c r="E662" s="2"/>
      <c r="F662" s="24"/>
      <c r="G662" s="24"/>
      <c r="H662" s="2"/>
      <c r="I662" s="2"/>
      <c r="J662" s="2"/>
      <c r="K662" s="2"/>
      <c r="L662" s="2"/>
      <c r="M662" s="2"/>
      <c r="N662" s="2"/>
      <c r="O662" s="7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7"/>
      <c r="D663" s="7"/>
      <c r="E663" s="2"/>
      <c r="F663" s="24"/>
      <c r="G663" s="24"/>
      <c r="H663" s="2"/>
      <c r="I663" s="2"/>
      <c r="J663" s="2"/>
      <c r="K663" s="2"/>
      <c r="L663" s="2"/>
      <c r="M663" s="2"/>
      <c r="N663" s="2"/>
      <c r="O663" s="7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7"/>
      <c r="D664" s="7"/>
      <c r="E664" s="2"/>
      <c r="F664" s="24"/>
      <c r="G664" s="24"/>
      <c r="H664" s="2"/>
      <c r="I664" s="2"/>
      <c r="J664" s="2"/>
      <c r="K664" s="2"/>
      <c r="L664" s="2"/>
      <c r="M664" s="2"/>
      <c r="N664" s="2"/>
      <c r="O664" s="7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7"/>
      <c r="D665" s="7"/>
      <c r="E665" s="2"/>
      <c r="F665" s="24"/>
      <c r="G665" s="24"/>
      <c r="H665" s="2"/>
      <c r="I665" s="2"/>
      <c r="J665" s="2"/>
      <c r="K665" s="2"/>
      <c r="L665" s="2"/>
      <c r="M665" s="2"/>
      <c r="N665" s="2"/>
      <c r="O665" s="7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7"/>
      <c r="D666" s="7"/>
      <c r="E666" s="2"/>
      <c r="F666" s="24"/>
      <c r="G666" s="24"/>
      <c r="H666" s="2"/>
      <c r="I666" s="2"/>
      <c r="J666" s="2"/>
      <c r="K666" s="2"/>
      <c r="L666" s="2"/>
      <c r="M666" s="2"/>
      <c r="N666" s="2"/>
      <c r="O666" s="7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7"/>
      <c r="D667" s="7"/>
      <c r="E667" s="2"/>
      <c r="F667" s="24"/>
      <c r="G667" s="24"/>
      <c r="H667" s="2"/>
      <c r="I667" s="2"/>
      <c r="J667" s="2"/>
      <c r="K667" s="2"/>
      <c r="L667" s="2"/>
      <c r="M667" s="2"/>
      <c r="N667" s="2"/>
      <c r="O667" s="7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7"/>
      <c r="D668" s="7"/>
      <c r="E668" s="2"/>
      <c r="F668" s="24"/>
      <c r="G668" s="24"/>
      <c r="H668" s="2"/>
      <c r="I668" s="2"/>
      <c r="J668" s="2"/>
      <c r="K668" s="2"/>
      <c r="L668" s="2"/>
      <c r="M668" s="2"/>
      <c r="N668" s="2"/>
      <c r="O668" s="7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7"/>
      <c r="D669" s="7"/>
      <c r="E669" s="2"/>
      <c r="F669" s="24"/>
      <c r="G669" s="24"/>
      <c r="H669" s="2"/>
      <c r="I669" s="2"/>
      <c r="J669" s="2"/>
      <c r="K669" s="2"/>
      <c r="L669" s="2"/>
      <c r="M669" s="2"/>
      <c r="N669" s="2"/>
      <c r="O669" s="7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7"/>
      <c r="D670" s="7"/>
      <c r="E670" s="2"/>
      <c r="F670" s="24"/>
      <c r="G670" s="24"/>
      <c r="H670" s="2"/>
      <c r="I670" s="2"/>
      <c r="J670" s="2"/>
      <c r="K670" s="2"/>
      <c r="L670" s="2"/>
      <c r="M670" s="2"/>
      <c r="N670" s="2"/>
      <c r="O670" s="7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7"/>
      <c r="D671" s="7"/>
      <c r="E671" s="2"/>
      <c r="F671" s="24"/>
      <c r="G671" s="24"/>
      <c r="H671" s="2"/>
      <c r="I671" s="2"/>
      <c r="J671" s="2"/>
      <c r="K671" s="2"/>
      <c r="L671" s="2"/>
      <c r="M671" s="2"/>
      <c r="N671" s="2"/>
      <c r="O671" s="7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7"/>
      <c r="D672" s="7"/>
      <c r="E672" s="2"/>
      <c r="F672" s="24"/>
      <c r="G672" s="24"/>
      <c r="H672" s="2"/>
      <c r="I672" s="2"/>
      <c r="J672" s="2"/>
      <c r="K672" s="2"/>
      <c r="L672" s="2"/>
      <c r="M672" s="2"/>
      <c r="N672" s="2"/>
      <c r="O672" s="7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7"/>
      <c r="D673" s="7"/>
      <c r="E673" s="2"/>
      <c r="F673" s="24"/>
      <c r="G673" s="24"/>
      <c r="H673" s="2"/>
      <c r="I673" s="2"/>
      <c r="J673" s="2"/>
      <c r="K673" s="2"/>
      <c r="L673" s="2"/>
      <c r="M673" s="2"/>
      <c r="N673" s="2"/>
      <c r="O673" s="7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7"/>
      <c r="D674" s="7"/>
      <c r="E674" s="2"/>
      <c r="F674" s="24"/>
      <c r="G674" s="24"/>
      <c r="H674" s="2"/>
      <c r="I674" s="2"/>
      <c r="J674" s="2"/>
      <c r="K674" s="2"/>
      <c r="L674" s="2"/>
      <c r="M674" s="2"/>
      <c r="N674" s="2"/>
      <c r="O674" s="7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7"/>
      <c r="D675" s="7"/>
      <c r="E675" s="2"/>
      <c r="F675" s="24"/>
      <c r="G675" s="24"/>
      <c r="H675" s="2"/>
      <c r="I675" s="2"/>
      <c r="J675" s="2"/>
      <c r="K675" s="2"/>
      <c r="L675" s="2"/>
      <c r="M675" s="2"/>
      <c r="N675" s="2"/>
      <c r="O675" s="7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7"/>
      <c r="D676" s="7"/>
      <c r="E676" s="2"/>
      <c r="F676" s="24"/>
      <c r="G676" s="24"/>
      <c r="H676" s="2"/>
      <c r="I676" s="2"/>
      <c r="J676" s="2"/>
      <c r="K676" s="2"/>
      <c r="L676" s="2"/>
      <c r="M676" s="2"/>
      <c r="N676" s="2"/>
      <c r="O676" s="7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7"/>
      <c r="D677" s="7"/>
      <c r="E677" s="2"/>
      <c r="F677" s="24"/>
      <c r="G677" s="24"/>
      <c r="H677" s="2"/>
      <c r="I677" s="2"/>
      <c r="J677" s="2"/>
      <c r="K677" s="2"/>
      <c r="L677" s="2"/>
      <c r="M677" s="2"/>
      <c r="N677" s="2"/>
      <c r="O677" s="7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7"/>
      <c r="D678" s="7"/>
      <c r="E678" s="2"/>
      <c r="F678" s="24"/>
      <c r="G678" s="24"/>
      <c r="H678" s="2"/>
      <c r="I678" s="2"/>
      <c r="J678" s="2"/>
      <c r="K678" s="2"/>
      <c r="L678" s="2"/>
      <c r="M678" s="2"/>
      <c r="N678" s="2"/>
      <c r="O678" s="7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7"/>
      <c r="D679" s="7"/>
      <c r="E679" s="2"/>
      <c r="F679" s="24"/>
      <c r="G679" s="24"/>
      <c r="H679" s="2"/>
      <c r="I679" s="2"/>
      <c r="J679" s="2"/>
      <c r="K679" s="2"/>
      <c r="L679" s="2"/>
      <c r="M679" s="2"/>
      <c r="N679" s="2"/>
      <c r="O679" s="7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7"/>
      <c r="D680" s="7"/>
      <c r="E680" s="2"/>
      <c r="F680" s="24"/>
      <c r="G680" s="24"/>
      <c r="H680" s="2"/>
      <c r="I680" s="2"/>
      <c r="J680" s="2"/>
      <c r="K680" s="2"/>
      <c r="L680" s="2"/>
      <c r="M680" s="2"/>
      <c r="N680" s="2"/>
      <c r="O680" s="7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7"/>
      <c r="D681" s="7"/>
      <c r="E681" s="2"/>
      <c r="F681" s="24"/>
      <c r="G681" s="24"/>
      <c r="H681" s="2"/>
      <c r="I681" s="2"/>
      <c r="J681" s="2"/>
      <c r="K681" s="2"/>
      <c r="L681" s="2"/>
      <c r="M681" s="2"/>
      <c r="N681" s="2"/>
      <c r="O681" s="7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7"/>
      <c r="D682" s="7"/>
      <c r="E682" s="2"/>
      <c r="F682" s="24"/>
      <c r="G682" s="24"/>
      <c r="H682" s="2"/>
      <c r="I682" s="2"/>
      <c r="J682" s="2"/>
      <c r="K682" s="2"/>
      <c r="L682" s="2"/>
      <c r="M682" s="2"/>
      <c r="N682" s="2"/>
      <c r="O682" s="7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7"/>
      <c r="D683" s="7"/>
      <c r="E683" s="2"/>
      <c r="F683" s="24"/>
      <c r="G683" s="24"/>
      <c r="H683" s="2"/>
      <c r="I683" s="2"/>
      <c r="J683" s="2"/>
      <c r="K683" s="2"/>
      <c r="L683" s="2"/>
      <c r="M683" s="2"/>
      <c r="N683" s="2"/>
      <c r="O683" s="7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7"/>
      <c r="D684" s="7"/>
      <c r="E684" s="2"/>
      <c r="F684" s="24"/>
      <c r="G684" s="24"/>
      <c r="H684" s="2"/>
      <c r="I684" s="2"/>
      <c r="J684" s="2"/>
      <c r="K684" s="2"/>
      <c r="L684" s="2"/>
      <c r="M684" s="2"/>
      <c r="N684" s="2"/>
      <c r="O684" s="7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7"/>
      <c r="D685" s="7"/>
      <c r="E685" s="2"/>
      <c r="F685" s="24"/>
      <c r="G685" s="24"/>
      <c r="H685" s="2"/>
      <c r="I685" s="2"/>
      <c r="J685" s="2"/>
      <c r="K685" s="2"/>
      <c r="L685" s="2"/>
      <c r="M685" s="2"/>
      <c r="N685" s="2"/>
      <c r="O685" s="7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7"/>
      <c r="D686" s="7"/>
      <c r="E686" s="2"/>
      <c r="F686" s="24"/>
      <c r="G686" s="24"/>
      <c r="H686" s="2"/>
      <c r="I686" s="2"/>
      <c r="J686" s="2"/>
      <c r="K686" s="2"/>
      <c r="L686" s="2"/>
      <c r="M686" s="2"/>
      <c r="N686" s="2"/>
      <c r="O686" s="7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7"/>
      <c r="D687" s="7"/>
      <c r="E687" s="2"/>
      <c r="F687" s="24"/>
      <c r="G687" s="24"/>
      <c r="H687" s="2"/>
      <c r="I687" s="2"/>
      <c r="J687" s="2"/>
      <c r="K687" s="2"/>
      <c r="L687" s="2"/>
      <c r="M687" s="2"/>
      <c r="N687" s="2"/>
      <c r="O687" s="7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7"/>
      <c r="D688" s="7"/>
      <c r="E688" s="2"/>
      <c r="F688" s="24"/>
      <c r="G688" s="24"/>
      <c r="H688" s="2"/>
      <c r="I688" s="2"/>
      <c r="J688" s="2"/>
      <c r="K688" s="2"/>
      <c r="L688" s="2"/>
      <c r="M688" s="2"/>
      <c r="N688" s="2"/>
      <c r="O688" s="7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7"/>
      <c r="D689" s="7"/>
      <c r="E689" s="2"/>
      <c r="F689" s="24"/>
      <c r="G689" s="24"/>
      <c r="H689" s="2"/>
      <c r="I689" s="2"/>
      <c r="J689" s="2"/>
      <c r="K689" s="2"/>
      <c r="L689" s="2"/>
      <c r="M689" s="2"/>
      <c r="N689" s="2"/>
      <c r="O689" s="7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7"/>
      <c r="D690" s="7"/>
      <c r="E690" s="2"/>
      <c r="F690" s="24"/>
      <c r="G690" s="24"/>
      <c r="H690" s="2"/>
      <c r="I690" s="2"/>
      <c r="J690" s="2"/>
      <c r="K690" s="2"/>
      <c r="L690" s="2"/>
      <c r="M690" s="2"/>
      <c r="N690" s="2"/>
      <c r="O690" s="7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7"/>
      <c r="D691" s="7"/>
      <c r="E691" s="2"/>
      <c r="F691" s="24"/>
      <c r="G691" s="24"/>
      <c r="H691" s="2"/>
      <c r="I691" s="2"/>
      <c r="J691" s="2"/>
      <c r="K691" s="2"/>
      <c r="L691" s="2"/>
      <c r="M691" s="2"/>
      <c r="N691" s="2"/>
      <c r="O691" s="7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7"/>
      <c r="D692" s="7"/>
      <c r="E692" s="2"/>
      <c r="F692" s="24"/>
      <c r="G692" s="24"/>
      <c r="H692" s="2"/>
      <c r="I692" s="2"/>
      <c r="J692" s="2"/>
      <c r="K692" s="2"/>
      <c r="L692" s="2"/>
      <c r="M692" s="2"/>
      <c r="N692" s="2"/>
      <c r="O692" s="7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7"/>
      <c r="D693" s="7"/>
      <c r="E693" s="2"/>
      <c r="F693" s="24"/>
      <c r="G693" s="24"/>
      <c r="H693" s="2"/>
      <c r="I693" s="2"/>
      <c r="J693" s="2"/>
      <c r="K693" s="2"/>
      <c r="L693" s="2"/>
      <c r="M693" s="2"/>
      <c r="N693" s="2"/>
      <c r="O693" s="7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7"/>
      <c r="D694" s="7"/>
      <c r="E694" s="2"/>
      <c r="F694" s="24"/>
      <c r="G694" s="24"/>
      <c r="H694" s="2"/>
      <c r="I694" s="2"/>
      <c r="J694" s="2"/>
      <c r="K694" s="2"/>
      <c r="L694" s="2"/>
      <c r="M694" s="2"/>
      <c r="N694" s="2"/>
      <c r="O694" s="7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7"/>
      <c r="D695" s="7"/>
      <c r="E695" s="2"/>
      <c r="F695" s="24"/>
      <c r="G695" s="24"/>
      <c r="H695" s="2"/>
      <c r="I695" s="2"/>
      <c r="J695" s="2"/>
      <c r="K695" s="2"/>
      <c r="L695" s="2"/>
      <c r="M695" s="2"/>
      <c r="N695" s="2"/>
      <c r="O695" s="7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7"/>
      <c r="D696" s="7"/>
      <c r="E696" s="2"/>
      <c r="F696" s="24"/>
      <c r="G696" s="24"/>
      <c r="H696" s="2"/>
      <c r="I696" s="2"/>
      <c r="J696" s="2"/>
      <c r="K696" s="2"/>
      <c r="L696" s="2"/>
      <c r="M696" s="2"/>
      <c r="N696" s="2"/>
      <c r="O696" s="7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7"/>
      <c r="D697" s="7"/>
      <c r="E697" s="2"/>
      <c r="F697" s="24"/>
      <c r="G697" s="24"/>
      <c r="H697" s="2"/>
      <c r="I697" s="2"/>
      <c r="J697" s="2"/>
      <c r="K697" s="2"/>
      <c r="L697" s="2"/>
      <c r="M697" s="2"/>
      <c r="N697" s="2"/>
      <c r="O697" s="7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7"/>
      <c r="D698" s="7"/>
      <c r="E698" s="2"/>
      <c r="F698" s="24"/>
      <c r="G698" s="24"/>
      <c r="H698" s="2"/>
      <c r="I698" s="2"/>
      <c r="J698" s="2"/>
      <c r="K698" s="2"/>
      <c r="L698" s="2"/>
      <c r="M698" s="2"/>
      <c r="N698" s="2"/>
      <c r="O698" s="7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7"/>
      <c r="D699" s="7"/>
      <c r="E699" s="2"/>
      <c r="F699" s="24"/>
      <c r="G699" s="24"/>
      <c r="H699" s="2"/>
      <c r="I699" s="2"/>
      <c r="J699" s="2"/>
      <c r="K699" s="2"/>
      <c r="L699" s="2"/>
      <c r="M699" s="2"/>
      <c r="N699" s="2"/>
      <c r="O699" s="7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7"/>
      <c r="D700" s="7"/>
      <c r="E700" s="2"/>
      <c r="F700" s="24"/>
      <c r="G700" s="24"/>
      <c r="H700" s="2"/>
      <c r="I700" s="2"/>
      <c r="J700" s="2"/>
      <c r="K700" s="2"/>
      <c r="L700" s="2"/>
      <c r="M700" s="2"/>
      <c r="N700" s="2"/>
      <c r="O700" s="7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7"/>
      <c r="D701" s="7"/>
      <c r="E701" s="2"/>
      <c r="F701" s="24"/>
      <c r="G701" s="24"/>
      <c r="H701" s="2"/>
      <c r="I701" s="2"/>
      <c r="J701" s="2"/>
      <c r="K701" s="2"/>
      <c r="L701" s="2"/>
      <c r="M701" s="2"/>
      <c r="N701" s="2"/>
      <c r="O701" s="7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7"/>
      <c r="D702" s="7"/>
      <c r="E702" s="2"/>
      <c r="F702" s="24"/>
      <c r="G702" s="24"/>
      <c r="H702" s="2"/>
      <c r="I702" s="2"/>
      <c r="J702" s="2"/>
      <c r="K702" s="2"/>
      <c r="L702" s="2"/>
      <c r="M702" s="2"/>
      <c r="N702" s="2"/>
      <c r="O702" s="7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7"/>
      <c r="D703" s="7"/>
      <c r="E703" s="2"/>
      <c r="F703" s="24"/>
      <c r="G703" s="24"/>
      <c r="H703" s="2"/>
      <c r="I703" s="2"/>
      <c r="J703" s="2"/>
      <c r="K703" s="2"/>
      <c r="L703" s="2"/>
      <c r="M703" s="2"/>
      <c r="N703" s="2"/>
      <c r="O703" s="7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7"/>
      <c r="D704" s="7"/>
      <c r="E704" s="2"/>
      <c r="F704" s="24"/>
      <c r="G704" s="24"/>
      <c r="H704" s="2"/>
      <c r="I704" s="2"/>
      <c r="J704" s="2"/>
      <c r="K704" s="2"/>
      <c r="L704" s="2"/>
      <c r="M704" s="2"/>
      <c r="N704" s="2"/>
      <c r="O704" s="7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7"/>
      <c r="D705" s="7"/>
      <c r="E705" s="2"/>
      <c r="F705" s="24"/>
      <c r="G705" s="24"/>
      <c r="H705" s="2"/>
      <c r="I705" s="2"/>
      <c r="J705" s="2"/>
      <c r="K705" s="2"/>
      <c r="L705" s="2"/>
      <c r="M705" s="2"/>
      <c r="N705" s="2"/>
      <c r="O705" s="7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7"/>
      <c r="D706" s="7"/>
      <c r="E706" s="2"/>
      <c r="F706" s="24"/>
      <c r="G706" s="24"/>
      <c r="H706" s="2"/>
      <c r="I706" s="2"/>
      <c r="J706" s="2"/>
      <c r="K706" s="2"/>
      <c r="L706" s="2"/>
      <c r="M706" s="2"/>
      <c r="N706" s="2"/>
      <c r="O706" s="7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7"/>
      <c r="D707" s="7"/>
      <c r="E707" s="2"/>
      <c r="F707" s="24"/>
      <c r="G707" s="24"/>
      <c r="H707" s="2"/>
      <c r="I707" s="2"/>
      <c r="J707" s="2"/>
      <c r="K707" s="2"/>
      <c r="L707" s="2"/>
      <c r="M707" s="2"/>
      <c r="N707" s="2"/>
      <c r="O707" s="7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7"/>
      <c r="D708" s="7"/>
      <c r="E708" s="2"/>
      <c r="F708" s="24"/>
      <c r="G708" s="24"/>
      <c r="H708" s="2"/>
      <c r="I708" s="2"/>
      <c r="J708" s="2"/>
      <c r="K708" s="2"/>
      <c r="L708" s="2"/>
      <c r="M708" s="2"/>
      <c r="N708" s="2"/>
      <c r="O708" s="7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7"/>
      <c r="D709" s="7"/>
      <c r="E709" s="2"/>
      <c r="F709" s="24"/>
      <c r="G709" s="24"/>
      <c r="H709" s="2"/>
      <c r="I709" s="2"/>
      <c r="J709" s="2"/>
      <c r="K709" s="2"/>
      <c r="L709" s="2"/>
      <c r="M709" s="2"/>
      <c r="N709" s="2"/>
      <c r="O709" s="7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7"/>
      <c r="D710" s="7"/>
      <c r="E710" s="2"/>
      <c r="F710" s="24"/>
      <c r="G710" s="24"/>
      <c r="H710" s="2"/>
      <c r="I710" s="2"/>
      <c r="J710" s="2"/>
      <c r="K710" s="2"/>
      <c r="L710" s="2"/>
      <c r="M710" s="2"/>
      <c r="N710" s="2"/>
      <c r="O710" s="7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7"/>
      <c r="D711" s="7"/>
      <c r="E711" s="2"/>
      <c r="F711" s="24"/>
      <c r="G711" s="24"/>
      <c r="H711" s="2"/>
      <c r="I711" s="2"/>
      <c r="J711" s="2"/>
      <c r="K711" s="2"/>
      <c r="L711" s="2"/>
      <c r="M711" s="2"/>
      <c r="N711" s="2"/>
      <c r="O711" s="7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7"/>
      <c r="D712" s="7"/>
      <c r="E712" s="2"/>
      <c r="F712" s="24"/>
      <c r="G712" s="24"/>
      <c r="H712" s="2"/>
      <c r="I712" s="2"/>
      <c r="J712" s="2"/>
      <c r="K712" s="2"/>
      <c r="L712" s="2"/>
      <c r="M712" s="2"/>
      <c r="N712" s="2"/>
      <c r="O712" s="7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7"/>
      <c r="D713" s="7"/>
      <c r="E713" s="2"/>
      <c r="F713" s="24"/>
      <c r="G713" s="24"/>
      <c r="H713" s="2"/>
      <c r="I713" s="2"/>
      <c r="J713" s="2"/>
      <c r="K713" s="2"/>
      <c r="L713" s="2"/>
      <c r="M713" s="2"/>
      <c r="N713" s="2"/>
      <c r="O713" s="7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7"/>
      <c r="D714" s="7"/>
      <c r="E714" s="2"/>
      <c r="F714" s="24"/>
      <c r="G714" s="24"/>
      <c r="H714" s="2"/>
      <c r="I714" s="2"/>
      <c r="J714" s="2"/>
      <c r="K714" s="2"/>
      <c r="L714" s="2"/>
      <c r="M714" s="2"/>
      <c r="N714" s="2"/>
      <c r="O714" s="7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7"/>
      <c r="D715" s="7"/>
      <c r="E715" s="2"/>
      <c r="F715" s="24"/>
      <c r="G715" s="24"/>
      <c r="H715" s="2"/>
      <c r="I715" s="2"/>
      <c r="J715" s="2"/>
      <c r="K715" s="2"/>
      <c r="L715" s="2"/>
      <c r="M715" s="2"/>
      <c r="N715" s="2"/>
      <c r="O715" s="7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7"/>
      <c r="D716" s="7"/>
      <c r="E716" s="2"/>
      <c r="F716" s="24"/>
      <c r="G716" s="24"/>
      <c r="H716" s="2"/>
      <c r="I716" s="2"/>
      <c r="J716" s="2"/>
      <c r="K716" s="2"/>
      <c r="L716" s="2"/>
      <c r="M716" s="2"/>
      <c r="N716" s="2"/>
      <c r="O716" s="7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7"/>
      <c r="D717" s="7"/>
      <c r="E717" s="2"/>
      <c r="F717" s="24"/>
      <c r="G717" s="24"/>
      <c r="H717" s="2"/>
      <c r="I717" s="2"/>
      <c r="J717" s="2"/>
      <c r="K717" s="2"/>
      <c r="L717" s="2"/>
      <c r="M717" s="2"/>
      <c r="N717" s="2"/>
      <c r="O717" s="7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7"/>
      <c r="D718" s="7"/>
      <c r="E718" s="2"/>
      <c r="F718" s="24"/>
      <c r="G718" s="24"/>
      <c r="H718" s="2"/>
      <c r="I718" s="2"/>
      <c r="J718" s="2"/>
      <c r="K718" s="2"/>
      <c r="L718" s="2"/>
      <c r="M718" s="2"/>
      <c r="N718" s="2"/>
      <c r="O718" s="7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7"/>
      <c r="D719" s="7"/>
      <c r="E719" s="2"/>
      <c r="F719" s="24"/>
      <c r="G719" s="24"/>
      <c r="H719" s="2"/>
      <c r="I719" s="2"/>
      <c r="J719" s="2"/>
      <c r="K719" s="2"/>
      <c r="L719" s="2"/>
      <c r="M719" s="2"/>
      <c r="N719" s="2"/>
      <c r="O719" s="7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7"/>
      <c r="D720" s="7"/>
      <c r="E720" s="2"/>
      <c r="F720" s="24"/>
      <c r="G720" s="24"/>
      <c r="H720" s="2"/>
      <c r="I720" s="2"/>
      <c r="J720" s="2"/>
      <c r="K720" s="2"/>
      <c r="L720" s="2"/>
      <c r="M720" s="2"/>
      <c r="N720" s="2"/>
      <c r="O720" s="7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7"/>
      <c r="D721" s="7"/>
      <c r="E721" s="2"/>
      <c r="F721" s="24"/>
      <c r="G721" s="24"/>
      <c r="H721" s="2"/>
      <c r="I721" s="2"/>
      <c r="J721" s="2"/>
      <c r="K721" s="2"/>
      <c r="L721" s="2"/>
      <c r="M721" s="2"/>
      <c r="N721" s="2"/>
      <c r="O721" s="7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7"/>
      <c r="D722" s="7"/>
      <c r="E722" s="2"/>
      <c r="F722" s="24"/>
      <c r="G722" s="24"/>
      <c r="H722" s="2"/>
      <c r="I722" s="2"/>
      <c r="J722" s="2"/>
      <c r="K722" s="2"/>
      <c r="L722" s="2"/>
      <c r="M722" s="2"/>
      <c r="N722" s="2"/>
      <c r="O722" s="7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7"/>
      <c r="D723" s="7"/>
      <c r="E723" s="2"/>
      <c r="F723" s="24"/>
      <c r="G723" s="24"/>
      <c r="H723" s="2"/>
      <c r="I723" s="2"/>
      <c r="J723" s="2"/>
      <c r="K723" s="2"/>
      <c r="L723" s="2"/>
      <c r="M723" s="2"/>
      <c r="N723" s="2"/>
      <c r="O723" s="7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7"/>
      <c r="D724" s="7"/>
      <c r="E724" s="2"/>
      <c r="F724" s="24"/>
      <c r="G724" s="24"/>
      <c r="H724" s="2"/>
      <c r="I724" s="2"/>
      <c r="J724" s="2"/>
      <c r="K724" s="2"/>
      <c r="L724" s="2"/>
      <c r="M724" s="2"/>
      <c r="N724" s="2"/>
      <c r="O724" s="7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7"/>
      <c r="D725" s="7"/>
      <c r="E725" s="2"/>
      <c r="F725" s="24"/>
      <c r="G725" s="24"/>
      <c r="H725" s="2"/>
      <c r="I725" s="2"/>
      <c r="J725" s="2"/>
      <c r="K725" s="2"/>
      <c r="L725" s="2"/>
      <c r="M725" s="2"/>
      <c r="N725" s="2"/>
      <c r="O725" s="7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7"/>
      <c r="D726" s="7"/>
      <c r="E726" s="2"/>
      <c r="F726" s="24"/>
      <c r="G726" s="24"/>
      <c r="H726" s="2"/>
      <c r="I726" s="2"/>
      <c r="J726" s="2"/>
      <c r="K726" s="2"/>
      <c r="L726" s="2"/>
      <c r="M726" s="2"/>
      <c r="N726" s="2"/>
      <c r="O726" s="7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7"/>
      <c r="D727" s="7"/>
      <c r="E727" s="2"/>
      <c r="F727" s="24"/>
      <c r="G727" s="24"/>
      <c r="H727" s="2"/>
      <c r="I727" s="2"/>
      <c r="J727" s="2"/>
      <c r="K727" s="2"/>
      <c r="L727" s="2"/>
      <c r="M727" s="2"/>
      <c r="N727" s="2"/>
      <c r="O727" s="7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7"/>
      <c r="D728" s="7"/>
      <c r="E728" s="2"/>
      <c r="F728" s="24"/>
      <c r="G728" s="24"/>
      <c r="H728" s="2"/>
      <c r="I728" s="2"/>
      <c r="J728" s="2"/>
      <c r="K728" s="2"/>
      <c r="L728" s="2"/>
      <c r="M728" s="2"/>
      <c r="N728" s="2"/>
      <c r="O728" s="7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7"/>
      <c r="D729" s="7"/>
      <c r="E729" s="2"/>
      <c r="F729" s="24"/>
      <c r="G729" s="24"/>
      <c r="H729" s="2"/>
      <c r="I729" s="2"/>
      <c r="J729" s="2"/>
      <c r="K729" s="2"/>
      <c r="L729" s="2"/>
      <c r="M729" s="2"/>
      <c r="N729" s="2"/>
      <c r="O729" s="7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7"/>
      <c r="D730" s="7"/>
      <c r="E730" s="2"/>
      <c r="F730" s="24"/>
      <c r="G730" s="24"/>
      <c r="H730" s="2"/>
      <c r="I730" s="2"/>
      <c r="J730" s="2"/>
      <c r="K730" s="2"/>
      <c r="L730" s="2"/>
      <c r="M730" s="2"/>
      <c r="N730" s="2"/>
      <c r="O730" s="7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7"/>
      <c r="D731" s="7"/>
      <c r="E731" s="2"/>
      <c r="F731" s="24"/>
      <c r="G731" s="24"/>
      <c r="H731" s="2"/>
      <c r="I731" s="2"/>
      <c r="J731" s="2"/>
      <c r="K731" s="2"/>
      <c r="L731" s="2"/>
      <c r="M731" s="2"/>
      <c r="N731" s="2"/>
      <c r="O731" s="7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7"/>
      <c r="D732" s="7"/>
      <c r="E732" s="2"/>
      <c r="F732" s="24"/>
      <c r="G732" s="24"/>
      <c r="H732" s="2"/>
      <c r="I732" s="2"/>
      <c r="J732" s="2"/>
      <c r="K732" s="2"/>
      <c r="L732" s="2"/>
      <c r="M732" s="2"/>
      <c r="N732" s="2"/>
      <c r="O732" s="7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7"/>
      <c r="D733" s="7"/>
      <c r="E733" s="2"/>
      <c r="F733" s="24"/>
      <c r="G733" s="24"/>
      <c r="H733" s="2"/>
      <c r="I733" s="2"/>
      <c r="J733" s="2"/>
      <c r="K733" s="2"/>
      <c r="L733" s="2"/>
      <c r="M733" s="2"/>
      <c r="N733" s="2"/>
      <c r="O733" s="7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7"/>
      <c r="D734" s="7"/>
      <c r="E734" s="2"/>
      <c r="F734" s="24"/>
      <c r="G734" s="24"/>
      <c r="H734" s="2"/>
      <c r="I734" s="2"/>
      <c r="J734" s="2"/>
      <c r="K734" s="2"/>
      <c r="L734" s="2"/>
      <c r="M734" s="2"/>
      <c r="N734" s="2"/>
      <c r="O734" s="7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7"/>
      <c r="D735" s="7"/>
      <c r="E735" s="2"/>
      <c r="F735" s="24"/>
      <c r="G735" s="24"/>
      <c r="H735" s="2"/>
      <c r="I735" s="2"/>
      <c r="J735" s="2"/>
      <c r="K735" s="2"/>
      <c r="L735" s="2"/>
      <c r="M735" s="2"/>
      <c r="N735" s="2"/>
      <c r="O735" s="7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7"/>
      <c r="D736" s="7"/>
      <c r="E736" s="2"/>
      <c r="F736" s="24"/>
      <c r="G736" s="24"/>
      <c r="H736" s="2"/>
      <c r="I736" s="2"/>
      <c r="J736" s="2"/>
      <c r="K736" s="2"/>
      <c r="L736" s="2"/>
      <c r="M736" s="2"/>
      <c r="N736" s="2"/>
      <c r="O736" s="7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7"/>
      <c r="D737" s="7"/>
      <c r="E737" s="2"/>
      <c r="F737" s="24"/>
      <c r="G737" s="24"/>
      <c r="H737" s="2"/>
      <c r="I737" s="2"/>
      <c r="J737" s="2"/>
      <c r="K737" s="2"/>
      <c r="L737" s="2"/>
      <c r="M737" s="2"/>
      <c r="N737" s="2"/>
      <c r="O737" s="7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7"/>
      <c r="D738" s="7"/>
      <c r="E738" s="2"/>
      <c r="F738" s="24"/>
      <c r="G738" s="24"/>
      <c r="H738" s="2"/>
      <c r="I738" s="2"/>
      <c r="J738" s="2"/>
      <c r="K738" s="2"/>
      <c r="L738" s="2"/>
      <c r="M738" s="2"/>
      <c r="N738" s="2"/>
      <c r="O738" s="7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7"/>
      <c r="D739" s="7"/>
      <c r="E739" s="2"/>
      <c r="F739" s="24"/>
      <c r="G739" s="24"/>
      <c r="H739" s="2"/>
      <c r="I739" s="2"/>
      <c r="J739" s="2"/>
      <c r="K739" s="2"/>
      <c r="L739" s="2"/>
      <c r="M739" s="2"/>
      <c r="N739" s="2"/>
      <c r="O739" s="7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7"/>
      <c r="D740" s="7"/>
      <c r="E740" s="2"/>
      <c r="F740" s="24"/>
      <c r="G740" s="24"/>
      <c r="H740" s="2"/>
      <c r="I740" s="2"/>
      <c r="J740" s="2"/>
      <c r="K740" s="2"/>
      <c r="L740" s="2"/>
      <c r="M740" s="2"/>
      <c r="N740" s="2"/>
      <c r="O740" s="7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7"/>
      <c r="D741" s="7"/>
      <c r="E741" s="2"/>
      <c r="F741" s="24"/>
      <c r="G741" s="24"/>
      <c r="H741" s="2"/>
      <c r="I741" s="2"/>
      <c r="J741" s="2"/>
      <c r="K741" s="2"/>
      <c r="L741" s="2"/>
      <c r="M741" s="2"/>
      <c r="N741" s="2"/>
      <c r="O741" s="7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7"/>
      <c r="D742" s="7"/>
      <c r="E742" s="2"/>
      <c r="F742" s="24"/>
      <c r="G742" s="24"/>
      <c r="H742" s="2"/>
      <c r="I742" s="2"/>
      <c r="J742" s="2"/>
      <c r="K742" s="2"/>
      <c r="L742" s="2"/>
      <c r="M742" s="2"/>
      <c r="N742" s="2"/>
      <c r="O742" s="7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7"/>
      <c r="D743" s="7"/>
      <c r="E743" s="2"/>
      <c r="F743" s="24"/>
      <c r="G743" s="24"/>
      <c r="H743" s="2"/>
      <c r="I743" s="2"/>
      <c r="J743" s="2"/>
      <c r="K743" s="2"/>
      <c r="L743" s="2"/>
      <c r="M743" s="2"/>
      <c r="N743" s="2"/>
      <c r="O743" s="7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7"/>
      <c r="D744" s="7"/>
      <c r="E744" s="2"/>
      <c r="F744" s="24"/>
      <c r="G744" s="24"/>
      <c r="H744" s="2"/>
      <c r="I744" s="2"/>
      <c r="J744" s="2"/>
      <c r="K744" s="2"/>
      <c r="L744" s="2"/>
      <c r="M744" s="2"/>
      <c r="N744" s="2"/>
      <c r="O744" s="7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7"/>
      <c r="D745" s="7"/>
      <c r="E745" s="2"/>
      <c r="F745" s="24"/>
      <c r="G745" s="24"/>
      <c r="H745" s="2"/>
      <c r="I745" s="2"/>
      <c r="J745" s="2"/>
      <c r="K745" s="2"/>
      <c r="L745" s="2"/>
      <c r="M745" s="2"/>
      <c r="N745" s="2"/>
      <c r="O745" s="7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7"/>
      <c r="D746" s="7"/>
      <c r="E746" s="2"/>
      <c r="F746" s="24"/>
      <c r="G746" s="24"/>
      <c r="H746" s="2"/>
      <c r="I746" s="2"/>
      <c r="J746" s="2"/>
      <c r="K746" s="2"/>
      <c r="L746" s="2"/>
      <c r="M746" s="2"/>
      <c r="N746" s="2"/>
      <c r="O746" s="7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7"/>
      <c r="D747" s="7"/>
      <c r="E747" s="2"/>
      <c r="F747" s="24"/>
      <c r="G747" s="24"/>
      <c r="H747" s="2"/>
      <c r="I747" s="2"/>
      <c r="J747" s="2"/>
      <c r="K747" s="2"/>
      <c r="L747" s="2"/>
      <c r="M747" s="2"/>
      <c r="N747" s="2"/>
      <c r="O747" s="7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7"/>
      <c r="D748" s="7"/>
      <c r="E748" s="2"/>
      <c r="F748" s="24"/>
      <c r="G748" s="24"/>
      <c r="H748" s="2"/>
      <c r="I748" s="2"/>
      <c r="J748" s="2"/>
      <c r="K748" s="2"/>
      <c r="L748" s="2"/>
      <c r="M748" s="2"/>
      <c r="N748" s="2"/>
      <c r="O748" s="7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7"/>
      <c r="D749" s="7"/>
      <c r="E749" s="2"/>
      <c r="F749" s="24"/>
      <c r="G749" s="24"/>
      <c r="H749" s="2"/>
      <c r="I749" s="2"/>
      <c r="J749" s="2"/>
      <c r="K749" s="2"/>
      <c r="L749" s="2"/>
      <c r="M749" s="2"/>
      <c r="N749" s="2"/>
      <c r="O749" s="7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7"/>
      <c r="D750" s="7"/>
      <c r="E750" s="2"/>
      <c r="F750" s="24"/>
      <c r="G750" s="24"/>
      <c r="H750" s="2"/>
      <c r="I750" s="2"/>
      <c r="J750" s="2"/>
      <c r="K750" s="2"/>
      <c r="L750" s="2"/>
      <c r="M750" s="2"/>
      <c r="N750" s="2"/>
      <c r="O750" s="7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7"/>
      <c r="D751" s="7"/>
      <c r="E751" s="2"/>
      <c r="F751" s="24"/>
      <c r="G751" s="24"/>
      <c r="H751" s="2"/>
      <c r="I751" s="2"/>
      <c r="J751" s="2"/>
      <c r="K751" s="2"/>
      <c r="L751" s="2"/>
      <c r="M751" s="2"/>
      <c r="N751" s="2"/>
      <c r="O751" s="7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7"/>
      <c r="D752" s="7"/>
      <c r="E752" s="2"/>
      <c r="F752" s="24"/>
      <c r="G752" s="24"/>
      <c r="H752" s="2"/>
      <c r="I752" s="2"/>
      <c r="J752" s="2"/>
      <c r="K752" s="2"/>
      <c r="L752" s="2"/>
      <c r="M752" s="2"/>
      <c r="N752" s="2"/>
      <c r="O752" s="7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7"/>
      <c r="D753" s="7"/>
      <c r="E753" s="2"/>
      <c r="F753" s="24"/>
      <c r="G753" s="24"/>
      <c r="H753" s="2"/>
      <c r="I753" s="2"/>
      <c r="J753" s="2"/>
      <c r="K753" s="2"/>
      <c r="L753" s="2"/>
      <c r="M753" s="2"/>
      <c r="N753" s="2"/>
      <c r="O753" s="7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7"/>
      <c r="D754" s="7"/>
      <c r="E754" s="2"/>
      <c r="F754" s="24"/>
      <c r="G754" s="24"/>
      <c r="H754" s="2"/>
      <c r="I754" s="2"/>
      <c r="J754" s="2"/>
      <c r="K754" s="2"/>
      <c r="L754" s="2"/>
      <c r="M754" s="2"/>
      <c r="N754" s="2"/>
      <c r="O754" s="7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7"/>
      <c r="D755" s="7"/>
      <c r="E755" s="2"/>
      <c r="F755" s="24"/>
      <c r="G755" s="24"/>
      <c r="H755" s="2"/>
      <c r="I755" s="2"/>
      <c r="J755" s="2"/>
      <c r="K755" s="2"/>
      <c r="L755" s="2"/>
      <c r="M755" s="2"/>
      <c r="N755" s="2"/>
      <c r="O755" s="7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7"/>
      <c r="D756" s="7"/>
      <c r="E756" s="2"/>
      <c r="F756" s="24"/>
      <c r="G756" s="24"/>
      <c r="H756" s="2"/>
      <c r="I756" s="2"/>
      <c r="J756" s="2"/>
      <c r="K756" s="2"/>
      <c r="L756" s="2"/>
      <c r="M756" s="2"/>
      <c r="N756" s="2"/>
      <c r="O756" s="7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7"/>
      <c r="D757" s="7"/>
      <c r="E757" s="2"/>
      <c r="F757" s="24"/>
      <c r="G757" s="24"/>
      <c r="H757" s="2"/>
      <c r="I757" s="2"/>
      <c r="J757" s="2"/>
      <c r="K757" s="2"/>
      <c r="L757" s="2"/>
      <c r="M757" s="2"/>
      <c r="N757" s="2"/>
      <c r="O757" s="7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7"/>
      <c r="D758" s="7"/>
      <c r="E758" s="2"/>
      <c r="F758" s="24"/>
      <c r="G758" s="24"/>
      <c r="H758" s="2"/>
      <c r="I758" s="2"/>
      <c r="J758" s="2"/>
      <c r="K758" s="2"/>
      <c r="L758" s="2"/>
      <c r="M758" s="2"/>
      <c r="N758" s="2"/>
      <c r="O758" s="7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7"/>
      <c r="D759" s="7"/>
      <c r="E759" s="2"/>
      <c r="F759" s="24"/>
      <c r="G759" s="24"/>
      <c r="H759" s="2"/>
      <c r="I759" s="2"/>
      <c r="J759" s="2"/>
      <c r="K759" s="2"/>
      <c r="L759" s="2"/>
      <c r="M759" s="2"/>
      <c r="N759" s="2"/>
      <c r="O759" s="7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7"/>
      <c r="D760" s="7"/>
      <c r="E760" s="2"/>
      <c r="F760" s="24"/>
      <c r="G760" s="24"/>
      <c r="H760" s="2"/>
      <c r="I760" s="2"/>
      <c r="J760" s="2"/>
      <c r="K760" s="2"/>
      <c r="L760" s="2"/>
      <c r="M760" s="2"/>
      <c r="N760" s="2"/>
      <c r="O760" s="7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7"/>
      <c r="D761" s="7"/>
      <c r="E761" s="2"/>
      <c r="F761" s="24"/>
      <c r="G761" s="24"/>
      <c r="H761" s="2"/>
      <c r="I761" s="2"/>
      <c r="J761" s="2"/>
      <c r="K761" s="2"/>
      <c r="L761" s="2"/>
      <c r="M761" s="2"/>
      <c r="N761" s="2"/>
      <c r="O761" s="7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7"/>
      <c r="D762" s="7"/>
      <c r="E762" s="2"/>
      <c r="F762" s="24"/>
      <c r="G762" s="24"/>
      <c r="H762" s="2"/>
      <c r="I762" s="2"/>
      <c r="J762" s="2"/>
      <c r="K762" s="2"/>
      <c r="L762" s="2"/>
      <c r="M762" s="2"/>
      <c r="N762" s="2"/>
      <c r="O762" s="7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7"/>
      <c r="D763" s="7"/>
      <c r="E763" s="2"/>
      <c r="F763" s="24"/>
      <c r="G763" s="24"/>
      <c r="H763" s="2"/>
      <c r="I763" s="2"/>
      <c r="J763" s="2"/>
      <c r="K763" s="2"/>
      <c r="L763" s="2"/>
      <c r="M763" s="2"/>
      <c r="N763" s="2"/>
      <c r="O763" s="7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7"/>
      <c r="D764" s="7"/>
      <c r="E764" s="2"/>
      <c r="F764" s="24"/>
      <c r="G764" s="24"/>
      <c r="H764" s="2"/>
      <c r="I764" s="2"/>
      <c r="J764" s="2"/>
      <c r="K764" s="2"/>
      <c r="L764" s="2"/>
      <c r="M764" s="2"/>
      <c r="N764" s="2"/>
      <c r="O764" s="7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7"/>
      <c r="D765" s="7"/>
      <c r="E765" s="2"/>
      <c r="F765" s="24"/>
      <c r="G765" s="24"/>
      <c r="H765" s="2"/>
      <c r="I765" s="2"/>
      <c r="J765" s="2"/>
      <c r="K765" s="2"/>
      <c r="L765" s="2"/>
      <c r="M765" s="2"/>
      <c r="N765" s="2"/>
      <c r="O765" s="7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7"/>
      <c r="D766" s="7"/>
      <c r="E766" s="2"/>
      <c r="F766" s="24"/>
      <c r="G766" s="24"/>
      <c r="H766" s="2"/>
      <c r="I766" s="2"/>
      <c r="J766" s="2"/>
      <c r="K766" s="2"/>
      <c r="L766" s="2"/>
      <c r="M766" s="2"/>
      <c r="N766" s="2"/>
      <c r="O766" s="7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7"/>
      <c r="D767" s="7"/>
      <c r="E767" s="2"/>
      <c r="F767" s="24"/>
      <c r="G767" s="24"/>
      <c r="H767" s="2"/>
      <c r="I767" s="2"/>
      <c r="J767" s="2"/>
      <c r="K767" s="2"/>
      <c r="L767" s="2"/>
      <c r="M767" s="2"/>
      <c r="N767" s="2"/>
      <c r="O767" s="7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7"/>
      <c r="D768" s="7"/>
      <c r="E768" s="2"/>
      <c r="F768" s="24"/>
      <c r="G768" s="24"/>
      <c r="H768" s="2"/>
      <c r="I768" s="2"/>
      <c r="J768" s="2"/>
      <c r="K768" s="2"/>
      <c r="L768" s="2"/>
      <c r="M768" s="2"/>
      <c r="N768" s="2"/>
      <c r="O768" s="7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7"/>
      <c r="D769" s="7"/>
      <c r="E769" s="2"/>
      <c r="F769" s="24"/>
      <c r="G769" s="24"/>
      <c r="H769" s="2"/>
      <c r="I769" s="2"/>
      <c r="J769" s="2"/>
      <c r="K769" s="2"/>
      <c r="L769" s="2"/>
      <c r="M769" s="2"/>
      <c r="N769" s="2"/>
      <c r="O769" s="7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7"/>
      <c r="D770" s="7"/>
      <c r="E770" s="2"/>
      <c r="F770" s="24"/>
      <c r="G770" s="24"/>
      <c r="H770" s="2"/>
      <c r="I770" s="2"/>
      <c r="J770" s="2"/>
      <c r="K770" s="2"/>
      <c r="L770" s="2"/>
      <c r="M770" s="2"/>
      <c r="N770" s="2"/>
      <c r="O770" s="7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7"/>
      <c r="D771" s="7"/>
      <c r="E771" s="2"/>
      <c r="F771" s="24"/>
      <c r="G771" s="24"/>
      <c r="H771" s="2"/>
      <c r="I771" s="2"/>
      <c r="J771" s="2"/>
      <c r="K771" s="2"/>
      <c r="L771" s="2"/>
      <c r="M771" s="2"/>
      <c r="N771" s="2"/>
      <c r="O771" s="7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7"/>
      <c r="D772" s="7"/>
      <c r="E772" s="2"/>
      <c r="F772" s="24"/>
      <c r="G772" s="24"/>
      <c r="H772" s="2"/>
      <c r="I772" s="2"/>
      <c r="J772" s="2"/>
      <c r="K772" s="2"/>
      <c r="L772" s="2"/>
      <c r="M772" s="2"/>
      <c r="N772" s="2"/>
      <c r="O772" s="7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7"/>
      <c r="D773" s="7"/>
      <c r="E773" s="2"/>
      <c r="F773" s="24"/>
      <c r="G773" s="24"/>
      <c r="H773" s="2"/>
      <c r="I773" s="2"/>
      <c r="J773" s="2"/>
      <c r="K773" s="2"/>
      <c r="L773" s="2"/>
      <c r="M773" s="2"/>
      <c r="N773" s="2"/>
      <c r="O773" s="7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7"/>
      <c r="D774" s="7"/>
      <c r="E774" s="2"/>
      <c r="F774" s="24"/>
      <c r="G774" s="24"/>
      <c r="H774" s="2"/>
      <c r="I774" s="2"/>
      <c r="J774" s="2"/>
      <c r="K774" s="2"/>
      <c r="L774" s="2"/>
      <c r="M774" s="2"/>
      <c r="N774" s="2"/>
      <c r="O774" s="7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7"/>
      <c r="D775" s="7"/>
      <c r="E775" s="2"/>
      <c r="F775" s="24"/>
      <c r="G775" s="24"/>
      <c r="H775" s="2"/>
      <c r="I775" s="2"/>
      <c r="J775" s="2"/>
      <c r="K775" s="2"/>
      <c r="L775" s="2"/>
      <c r="M775" s="2"/>
      <c r="N775" s="2"/>
      <c r="O775" s="7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7"/>
      <c r="D776" s="7"/>
      <c r="E776" s="2"/>
      <c r="F776" s="24"/>
      <c r="G776" s="24"/>
      <c r="H776" s="2"/>
      <c r="I776" s="2"/>
      <c r="J776" s="2"/>
      <c r="K776" s="2"/>
      <c r="L776" s="2"/>
      <c r="M776" s="2"/>
      <c r="N776" s="2"/>
      <c r="O776" s="7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7"/>
      <c r="D777" s="7"/>
      <c r="E777" s="2"/>
      <c r="F777" s="24"/>
      <c r="G777" s="24"/>
      <c r="H777" s="2"/>
      <c r="I777" s="2"/>
      <c r="J777" s="2"/>
      <c r="K777" s="2"/>
      <c r="L777" s="2"/>
      <c r="M777" s="2"/>
      <c r="N777" s="2"/>
      <c r="O777" s="7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7"/>
      <c r="D778" s="7"/>
      <c r="E778" s="2"/>
      <c r="F778" s="24"/>
      <c r="G778" s="24"/>
      <c r="H778" s="2"/>
      <c r="I778" s="2"/>
      <c r="J778" s="2"/>
      <c r="K778" s="2"/>
      <c r="L778" s="2"/>
      <c r="M778" s="2"/>
      <c r="N778" s="2"/>
      <c r="O778" s="7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7"/>
      <c r="D779" s="7"/>
      <c r="E779" s="2"/>
      <c r="F779" s="24"/>
      <c r="G779" s="24"/>
      <c r="H779" s="2"/>
      <c r="I779" s="2"/>
      <c r="J779" s="2"/>
      <c r="K779" s="2"/>
      <c r="L779" s="2"/>
      <c r="M779" s="2"/>
      <c r="N779" s="2"/>
      <c r="O779" s="7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7"/>
      <c r="D780" s="7"/>
      <c r="E780" s="2"/>
      <c r="F780" s="24"/>
      <c r="G780" s="24"/>
      <c r="H780" s="2"/>
      <c r="I780" s="2"/>
      <c r="J780" s="2"/>
      <c r="K780" s="2"/>
      <c r="L780" s="2"/>
      <c r="M780" s="2"/>
      <c r="N780" s="2"/>
      <c r="O780" s="7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7"/>
      <c r="D781" s="7"/>
      <c r="E781" s="2"/>
      <c r="F781" s="24"/>
      <c r="G781" s="24"/>
      <c r="H781" s="2"/>
      <c r="I781" s="2"/>
      <c r="J781" s="2"/>
      <c r="K781" s="2"/>
      <c r="L781" s="2"/>
      <c r="M781" s="2"/>
      <c r="N781" s="2"/>
      <c r="O781" s="7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7"/>
      <c r="D782" s="7"/>
      <c r="E782" s="2"/>
      <c r="F782" s="24"/>
      <c r="G782" s="24"/>
      <c r="H782" s="2"/>
      <c r="I782" s="2"/>
      <c r="J782" s="2"/>
      <c r="K782" s="2"/>
      <c r="L782" s="2"/>
      <c r="M782" s="2"/>
      <c r="N782" s="2"/>
      <c r="O782" s="7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7"/>
      <c r="D783" s="7"/>
      <c r="E783" s="2"/>
      <c r="F783" s="24"/>
      <c r="G783" s="24"/>
      <c r="H783" s="2"/>
      <c r="I783" s="2"/>
      <c r="J783" s="2"/>
      <c r="K783" s="2"/>
      <c r="L783" s="2"/>
      <c r="M783" s="2"/>
      <c r="N783" s="2"/>
      <c r="O783" s="7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7"/>
      <c r="D784" s="7"/>
      <c r="E784" s="2"/>
      <c r="F784" s="24"/>
      <c r="G784" s="24"/>
      <c r="H784" s="2"/>
      <c r="I784" s="2"/>
      <c r="J784" s="2"/>
      <c r="K784" s="2"/>
      <c r="L784" s="2"/>
      <c r="M784" s="2"/>
      <c r="N784" s="2"/>
      <c r="O784" s="7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7"/>
      <c r="D785" s="7"/>
      <c r="E785" s="2"/>
      <c r="F785" s="24"/>
      <c r="G785" s="24"/>
      <c r="H785" s="2"/>
      <c r="I785" s="2"/>
      <c r="J785" s="2"/>
      <c r="K785" s="2"/>
      <c r="L785" s="2"/>
      <c r="M785" s="2"/>
      <c r="N785" s="2"/>
      <c r="O785" s="7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7"/>
      <c r="D786" s="7"/>
      <c r="E786" s="2"/>
      <c r="F786" s="24"/>
      <c r="G786" s="24"/>
      <c r="H786" s="2"/>
      <c r="I786" s="2"/>
      <c r="J786" s="2"/>
      <c r="K786" s="2"/>
      <c r="L786" s="2"/>
      <c r="M786" s="2"/>
      <c r="N786" s="2"/>
      <c r="O786" s="7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7"/>
      <c r="D787" s="7"/>
      <c r="E787" s="2"/>
      <c r="F787" s="24"/>
      <c r="G787" s="24"/>
      <c r="H787" s="2"/>
      <c r="I787" s="2"/>
      <c r="J787" s="2"/>
      <c r="K787" s="2"/>
      <c r="L787" s="2"/>
      <c r="M787" s="2"/>
      <c r="N787" s="2"/>
      <c r="O787" s="7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7"/>
      <c r="D788" s="7"/>
      <c r="E788" s="2"/>
      <c r="F788" s="24"/>
      <c r="G788" s="24"/>
      <c r="H788" s="2"/>
      <c r="I788" s="2"/>
      <c r="J788" s="2"/>
      <c r="K788" s="2"/>
      <c r="L788" s="2"/>
      <c r="M788" s="2"/>
      <c r="N788" s="2"/>
      <c r="O788" s="7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7"/>
      <c r="D789" s="7"/>
      <c r="E789" s="2"/>
      <c r="F789" s="24"/>
      <c r="G789" s="24"/>
      <c r="H789" s="2"/>
      <c r="I789" s="2"/>
      <c r="J789" s="2"/>
      <c r="K789" s="2"/>
      <c r="L789" s="2"/>
      <c r="M789" s="2"/>
      <c r="N789" s="2"/>
      <c r="O789" s="7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7"/>
      <c r="D790" s="7"/>
      <c r="E790" s="2"/>
      <c r="F790" s="24"/>
      <c r="G790" s="24"/>
      <c r="H790" s="2"/>
      <c r="I790" s="2"/>
      <c r="J790" s="2"/>
      <c r="K790" s="2"/>
      <c r="L790" s="2"/>
      <c r="M790" s="2"/>
      <c r="N790" s="2"/>
      <c r="O790" s="7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7"/>
      <c r="D791" s="7"/>
      <c r="E791" s="2"/>
      <c r="F791" s="24"/>
      <c r="G791" s="24"/>
      <c r="H791" s="2"/>
      <c r="I791" s="2"/>
      <c r="J791" s="2"/>
      <c r="K791" s="2"/>
      <c r="L791" s="2"/>
      <c r="M791" s="2"/>
      <c r="N791" s="2"/>
      <c r="O791" s="7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7"/>
      <c r="D792" s="7"/>
      <c r="E792" s="2"/>
      <c r="F792" s="24"/>
      <c r="G792" s="24"/>
      <c r="H792" s="2"/>
      <c r="I792" s="2"/>
      <c r="J792" s="2"/>
      <c r="K792" s="2"/>
      <c r="L792" s="2"/>
      <c r="M792" s="2"/>
      <c r="N792" s="2"/>
      <c r="O792" s="7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7"/>
      <c r="D793" s="7"/>
      <c r="E793" s="2"/>
      <c r="F793" s="24"/>
      <c r="G793" s="24"/>
      <c r="H793" s="2"/>
      <c r="I793" s="2"/>
      <c r="J793" s="2"/>
      <c r="K793" s="2"/>
      <c r="L793" s="2"/>
      <c r="M793" s="2"/>
      <c r="N793" s="2"/>
      <c r="O793" s="7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7"/>
      <c r="D794" s="7"/>
      <c r="E794" s="2"/>
      <c r="F794" s="24"/>
      <c r="G794" s="24"/>
      <c r="H794" s="2"/>
      <c r="I794" s="2"/>
      <c r="J794" s="2"/>
      <c r="K794" s="2"/>
      <c r="L794" s="2"/>
      <c r="M794" s="2"/>
      <c r="N794" s="2"/>
      <c r="O794" s="7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7"/>
      <c r="D795" s="7"/>
      <c r="E795" s="2"/>
      <c r="F795" s="24"/>
      <c r="G795" s="24"/>
      <c r="H795" s="2"/>
      <c r="I795" s="2"/>
      <c r="J795" s="2"/>
      <c r="K795" s="2"/>
      <c r="L795" s="2"/>
      <c r="M795" s="2"/>
      <c r="N795" s="2"/>
      <c r="O795" s="7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7"/>
      <c r="D796" s="7"/>
      <c r="E796" s="2"/>
      <c r="F796" s="24"/>
      <c r="G796" s="24"/>
      <c r="H796" s="2"/>
      <c r="I796" s="2"/>
      <c r="J796" s="2"/>
      <c r="K796" s="2"/>
      <c r="L796" s="2"/>
      <c r="M796" s="2"/>
      <c r="N796" s="2"/>
      <c r="O796" s="7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7"/>
      <c r="D797" s="7"/>
      <c r="E797" s="2"/>
      <c r="F797" s="24"/>
      <c r="G797" s="24"/>
      <c r="H797" s="2"/>
      <c r="I797" s="2"/>
      <c r="J797" s="2"/>
      <c r="K797" s="2"/>
      <c r="L797" s="2"/>
      <c r="M797" s="2"/>
      <c r="N797" s="2"/>
      <c r="O797" s="7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7"/>
      <c r="D798" s="7"/>
      <c r="E798" s="2"/>
      <c r="F798" s="24"/>
      <c r="G798" s="24"/>
      <c r="H798" s="2"/>
      <c r="I798" s="2"/>
      <c r="J798" s="2"/>
      <c r="K798" s="2"/>
      <c r="L798" s="2"/>
      <c r="M798" s="2"/>
      <c r="N798" s="2"/>
      <c r="O798" s="7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7"/>
      <c r="D799" s="7"/>
      <c r="E799" s="2"/>
      <c r="F799" s="24"/>
      <c r="G799" s="24"/>
      <c r="H799" s="2"/>
      <c r="I799" s="2"/>
      <c r="J799" s="2"/>
      <c r="K799" s="2"/>
      <c r="L799" s="2"/>
      <c r="M799" s="2"/>
      <c r="N799" s="2"/>
      <c r="O799" s="7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7"/>
      <c r="D800" s="7"/>
      <c r="E800" s="2"/>
      <c r="F800" s="24"/>
      <c r="G800" s="24"/>
      <c r="H800" s="2"/>
      <c r="I800" s="2"/>
      <c r="J800" s="2"/>
      <c r="K800" s="2"/>
      <c r="L800" s="2"/>
      <c r="M800" s="2"/>
      <c r="N800" s="2"/>
      <c r="O800" s="7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7"/>
      <c r="D801" s="7"/>
      <c r="E801" s="2"/>
      <c r="F801" s="24"/>
      <c r="G801" s="24"/>
      <c r="H801" s="2"/>
      <c r="I801" s="2"/>
      <c r="J801" s="2"/>
      <c r="K801" s="2"/>
      <c r="L801" s="2"/>
      <c r="M801" s="2"/>
      <c r="N801" s="2"/>
      <c r="O801" s="7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7"/>
      <c r="D802" s="7"/>
      <c r="E802" s="2"/>
      <c r="F802" s="24"/>
      <c r="G802" s="24"/>
      <c r="H802" s="2"/>
      <c r="I802" s="2"/>
      <c r="J802" s="2"/>
      <c r="K802" s="2"/>
      <c r="L802" s="2"/>
      <c r="M802" s="2"/>
      <c r="N802" s="2"/>
      <c r="O802" s="7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7"/>
      <c r="D803" s="7"/>
      <c r="E803" s="2"/>
      <c r="F803" s="24"/>
      <c r="G803" s="24"/>
      <c r="H803" s="2"/>
      <c r="I803" s="2"/>
      <c r="J803" s="2"/>
      <c r="K803" s="2"/>
      <c r="L803" s="2"/>
      <c r="M803" s="2"/>
      <c r="N803" s="2"/>
      <c r="O803" s="7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7"/>
      <c r="D804" s="7"/>
      <c r="E804" s="2"/>
      <c r="F804" s="24"/>
      <c r="G804" s="24"/>
      <c r="H804" s="2"/>
      <c r="I804" s="2"/>
      <c r="J804" s="2"/>
      <c r="K804" s="2"/>
      <c r="L804" s="2"/>
      <c r="M804" s="2"/>
      <c r="N804" s="2"/>
      <c r="O804" s="7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7"/>
      <c r="D805" s="7"/>
      <c r="E805" s="2"/>
      <c r="F805" s="24"/>
      <c r="G805" s="24"/>
      <c r="H805" s="2"/>
      <c r="I805" s="2"/>
      <c r="J805" s="2"/>
      <c r="K805" s="2"/>
      <c r="L805" s="2"/>
      <c r="M805" s="2"/>
      <c r="N805" s="2"/>
      <c r="O805" s="7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7"/>
      <c r="D806" s="7"/>
      <c r="E806" s="2"/>
      <c r="F806" s="24"/>
      <c r="G806" s="24"/>
      <c r="H806" s="2"/>
      <c r="I806" s="2"/>
      <c r="J806" s="2"/>
      <c r="K806" s="2"/>
      <c r="L806" s="2"/>
      <c r="M806" s="2"/>
      <c r="N806" s="2"/>
      <c r="O806" s="7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7"/>
      <c r="D807" s="7"/>
      <c r="E807" s="2"/>
      <c r="F807" s="24"/>
      <c r="G807" s="24"/>
      <c r="H807" s="2"/>
      <c r="I807" s="2"/>
      <c r="J807" s="2"/>
      <c r="K807" s="2"/>
      <c r="L807" s="2"/>
      <c r="M807" s="2"/>
      <c r="N807" s="2"/>
      <c r="O807" s="7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7"/>
      <c r="D808" s="7"/>
      <c r="E808" s="2"/>
      <c r="F808" s="24"/>
      <c r="G808" s="24"/>
      <c r="H808" s="2"/>
      <c r="I808" s="2"/>
      <c r="J808" s="2"/>
      <c r="K808" s="2"/>
      <c r="L808" s="2"/>
      <c r="M808" s="2"/>
      <c r="N808" s="2"/>
      <c r="O808" s="7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7"/>
      <c r="D809" s="7"/>
      <c r="E809" s="2"/>
      <c r="F809" s="24"/>
      <c r="G809" s="24"/>
      <c r="H809" s="2"/>
      <c r="I809" s="2"/>
      <c r="J809" s="2"/>
      <c r="K809" s="2"/>
      <c r="L809" s="2"/>
      <c r="M809" s="2"/>
      <c r="N809" s="2"/>
      <c r="O809" s="7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7"/>
      <c r="D810" s="7"/>
      <c r="E810" s="2"/>
      <c r="F810" s="24"/>
      <c r="G810" s="24"/>
      <c r="H810" s="2"/>
      <c r="I810" s="2"/>
      <c r="J810" s="2"/>
      <c r="K810" s="2"/>
      <c r="L810" s="2"/>
      <c r="M810" s="2"/>
      <c r="N810" s="2"/>
      <c r="O810" s="7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7"/>
      <c r="D811" s="7"/>
      <c r="E811" s="2"/>
      <c r="F811" s="24"/>
      <c r="G811" s="24"/>
      <c r="H811" s="2"/>
      <c r="I811" s="2"/>
      <c r="J811" s="2"/>
      <c r="K811" s="2"/>
      <c r="L811" s="2"/>
      <c r="M811" s="2"/>
      <c r="N811" s="2"/>
      <c r="O811" s="7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7"/>
      <c r="D812" s="7"/>
      <c r="E812" s="2"/>
      <c r="F812" s="24"/>
      <c r="G812" s="24"/>
      <c r="H812" s="2"/>
      <c r="I812" s="2"/>
      <c r="J812" s="2"/>
      <c r="K812" s="2"/>
      <c r="L812" s="2"/>
      <c r="M812" s="2"/>
      <c r="N812" s="2"/>
      <c r="O812" s="7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7"/>
      <c r="D813" s="7"/>
      <c r="E813" s="2"/>
      <c r="F813" s="24"/>
      <c r="G813" s="24"/>
      <c r="H813" s="2"/>
      <c r="I813" s="2"/>
      <c r="J813" s="2"/>
      <c r="K813" s="2"/>
      <c r="L813" s="2"/>
      <c r="M813" s="2"/>
      <c r="N813" s="2"/>
      <c r="O813" s="7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7"/>
      <c r="D814" s="7"/>
      <c r="E814" s="2"/>
      <c r="F814" s="24"/>
      <c r="G814" s="24"/>
      <c r="H814" s="2"/>
      <c r="I814" s="2"/>
      <c r="J814" s="2"/>
      <c r="K814" s="2"/>
      <c r="L814" s="2"/>
      <c r="M814" s="2"/>
      <c r="N814" s="2"/>
      <c r="O814" s="7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7"/>
      <c r="D815" s="7"/>
      <c r="E815" s="2"/>
      <c r="F815" s="24"/>
      <c r="G815" s="24"/>
      <c r="H815" s="2"/>
      <c r="I815" s="2"/>
      <c r="J815" s="2"/>
      <c r="K815" s="2"/>
      <c r="L815" s="2"/>
      <c r="M815" s="2"/>
      <c r="N815" s="2"/>
      <c r="O815" s="7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7"/>
      <c r="D816" s="7"/>
      <c r="E816" s="2"/>
      <c r="F816" s="24"/>
      <c r="G816" s="24"/>
      <c r="H816" s="2"/>
      <c r="I816" s="2"/>
      <c r="J816" s="2"/>
      <c r="K816" s="2"/>
      <c r="L816" s="2"/>
      <c r="M816" s="2"/>
      <c r="N816" s="2"/>
      <c r="O816" s="7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7"/>
      <c r="D817" s="7"/>
      <c r="E817" s="2"/>
      <c r="F817" s="24"/>
      <c r="G817" s="24"/>
      <c r="H817" s="2"/>
      <c r="I817" s="2"/>
      <c r="J817" s="2"/>
      <c r="K817" s="2"/>
      <c r="L817" s="2"/>
      <c r="M817" s="2"/>
      <c r="N817" s="2"/>
      <c r="O817" s="7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7"/>
      <c r="D818" s="7"/>
      <c r="E818" s="2"/>
      <c r="F818" s="24"/>
      <c r="G818" s="24"/>
      <c r="H818" s="2"/>
      <c r="I818" s="2"/>
      <c r="J818" s="2"/>
      <c r="K818" s="2"/>
      <c r="L818" s="2"/>
      <c r="M818" s="2"/>
      <c r="N818" s="2"/>
      <c r="O818" s="7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7"/>
      <c r="D819" s="7"/>
      <c r="E819" s="2"/>
      <c r="F819" s="24"/>
      <c r="G819" s="24"/>
      <c r="H819" s="2"/>
      <c r="I819" s="2"/>
      <c r="J819" s="2"/>
      <c r="K819" s="2"/>
      <c r="L819" s="2"/>
      <c r="M819" s="2"/>
      <c r="N819" s="2"/>
      <c r="O819" s="7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7"/>
      <c r="D820" s="7"/>
      <c r="E820" s="2"/>
      <c r="F820" s="24"/>
      <c r="G820" s="24"/>
      <c r="H820" s="2"/>
      <c r="I820" s="2"/>
      <c r="J820" s="2"/>
      <c r="K820" s="2"/>
      <c r="L820" s="2"/>
      <c r="M820" s="2"/>
      <c r="N820" s="2"/>
      <c r="O820" s="7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7"/>
      <c r="D821" s="7"/>
      <c r="E821" s="2"/>
      <c r="F821" s="24"/>
      <c r="G821" s="24"/>
      <c r="H821" s="2"/>
      <c r="I821" s="2"/>
      <c r="J821" s="2"/>
      <c r="K821" s="2"/>
      <c r="L821" s="2"/>
      <c r="M821" s="2"/>
      <c r="N821" s="2"/>
      <c r="O821" s="7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7"/>
      <c r="D822" s="7"/>
      <c r="E822" s="2"/>
      <c r="F822" s="24"/>
      <c r="G822" s="24"/>
      <c r="H822" s="2"/>
      <c r="I822" s="2"/>
      <c r="J822" s="2"/>
      <c r="K822" s="2"/>
      <c r="L822" s="2"/>
      <c r="M822" s="2"/>
      <c r="N822" s="2"/>
      <c r="O822" s="7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7"/>
      <c r="D823" s="7"/>
      <c r="E823" s="2"/>
      <c r="F823" s="24"/>
      <c r="G823" s="24"/>
      <c r="H823" s="2"/>
      <c r="I823" s="2"/>
      <c r="J823" s="2"/>
      <c r="K823" s="2"/>
      <c r="L823" s="2"/>
      <c r="M823" s="2"/>
      <c r="N823" s="2"/>
      <c r="O823" s="7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7"/>
      <c r="D824" s="7"/>
      <c r="E824" s="2"/>
      <c r="F824" s="24"/>
      <c r="G824" s="24"/>
      <c r="H824" s="2"/>
      <c r="I824" s="2"/>
      <c r="J824" s="2"/>
      <c r="K824" s="2"/>
      <c r="L824" s="2"/>
      <c r="M824" s="2"/>
      <c r="N824" s="2"/>
      <c r="O824" s="7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7"/>
      <c r="D825" s="7"/>
      <c r="E825" s="2"/>
      <c r="F825" s="24"/>
      <c r="G825" s="24"/>
      <c r="H825" s="2"/>
      <c r="I825" s="2"/>
      <c r="J825" s="2"/>
      <c r="K825" s="2"/>
      <c r="L825" s="2"/>
      <c r="M825" s="2"/>
      <c r="N825" s="2"/>
      <c r="O825" s="7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7"/>
      <c r="D826" s="7"/>
      <c r="E826" s="2"/>
      <c r="F826" s="24"/>
      <c r="G826" s="24"/>
      <c r="H826" s="2"/>
      <c r="I826" s="2"/>
      <c r="J826" s="2"/>
      <c r="K826" s="2"/>
      <c r="L826" s="2"/>
      <c r="M826" s="2"/>
      <c r="N826" s="2"/>
      <c r="O826" s="7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7"/>
      <c r="D827" s="7"/>
      <c r="E827" s="2"/>
      <c r="F827" s="24"/>
      <c r="G827" s="24"/>
      <c r="H827" s="2"/>
      <c r="I827" s="2"/>
      <c r="J827" s="2"/>
      <c r="K827" s="2"/>
      <c r="L827" s="2"/>
      <c r="M827" s="2"/>
      <c r="N827" s="2"/>
      <c r="O827" s="7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7"/>
      <c r="D828" s="7"/>
      <c r="E828" s="2"/>
      <c r="F828" s="24"/>
      <c r="G828" s="24"/>
      <c r="H828" s="2"/>
      <c r="I828" s="2"/>
      <c r="J828" s="2"/>
      <c r="K828" s="2"/>
      <c r="L828" s="2"/>
      <c r="M828" s="2"/>
      <c r="N828" s="2"/>
      <c r="O828" s="7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7"/>
      <c r="D829" s="7"/>
      <c r="E829" s="2"/>
      <c r="F829" s="24"/>
      <c r="G829" s="24"/>
      <c r="H829" s="2"/>
      <c r="I829" s="2"/>
      <c r="J829" s="2"/>
      <c r="K829" s="2"/>
      <c r="L829" s="2"/>
      <c r="M829" s="2"/>
      <c r="N829" s="2"/>
      <c r="O829" s="7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7"/>
      <c r="D830" s="7"/>
      <c r="E830" s="2"/>
      <c r="F830" s="24"/>
      <c r="G830" s="24"/>
      <c r="H830" s="2"/>
      <c r="I830" s="2"/>
      <c r="J830" s="2"/>
      <c r="K830" s="2"/>
      <c r="L830" s="2"/>
      <c r="M830" s="2"/>
      <c r="N830" s="2"/>
      <c r="O830" s="7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7"/>
      <c r="D831" s="7"/>
      <c r="E831" s="2"/>
      <c r="F831" s="24"/>
      <c r="G831" s="24"/>
      <c r="H831" s="2"/>
      <c r="I831" s="2"/>
      <c r="J831" s="2"/>
      <c r="K831" s="2"/>
      <c r="L831" s="2"/>
      <c r="M831" s="2"/>
      <c r="N831" s="2"/>
      <c r="O831" s="7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7"/>
      <c r="D832" s="7"/>
      <c r="E832" s="2"/>
      <c r="F832" s="24"/>
      <c r="G832" s="24"/>
      <c r="H832" s="2"/>
      <c r="I832" s="2"/>
      <c r="J832" s="2"/>
      <c r="K832" s="2"/>
      <c r="L832" s="2"/>
      <c r="M832" s="2"/>
      <c r="N832" s="2"/>
      <c r="O832" s="7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7"/>
      <c r="D833" s="7"/>
      <c r="E833" s="2"/>
      <c r="F833" s="24"/>
      <c r="G833" s="24"/>
      <c r="H833" s="2"/>
      <c r="I833" s="2"/>
      <c r="J833" s="2"/>
      <c r="K833" s="2"/>
      <c r="L833" s="2"/>
      <c r="M833" s="2"/>
      <c r="N833" s="2"/>
      <c r="O833" s="7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7"/>
      <c r="D834" s="7"/>
      <c r="E834" s="2"/>
      <c r="F834" s="24"/>
      <c r="G834" s="24"/>
      <c r="H834" s="2"/>
      <c r="I834" s="2"/>
      <c r="J834" s="2"/>
      <c r="K834" s="2"/>
      <c r="L834" s="2"/>
      <c r="M834" s="2"/>
      <c r="N834" s="2"/>
      <c r="O834" s="7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7"/>
      <c r="D835" s="7"/>
      <c r="E835" s="2"/>
      <c r="F835" s="24"/>
      <c r="G835" s="24"/>
      <c r="H835" s="2"/>
      <c r="I835" s="2"/>
      <c r="J835" s="2"/>
      <c r="K835" s="2"/>
      <c r="L835" s="2"/>
      <c r="M835" s="2"/>
      <c r="N835" s="2"/>
      <c r="O835" s="7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7"/>
      <c r="D836" s="7"/>
      <c r="E836" s="2"/>
      <c r="F836" s="24"/>
      <c r="G836" s="24"/>
      <c r="H836" s="2"/>
      <c r="I836" s="2"/>
      <c r="J836" s="2"/>
      <c r="K836" s="2"/>
      <c r="L836" s="2"/>
      <c r="M836" s="2"/>
      <c r="N836" s="2"/>
      <c r="O836" s="7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7"/>
      <c r="D837" s="7"/>
      <c r="E837" s="2"/>
      <c r="F837" s="24"/>
      <c r="G837" s="24"/>
      <c r="H837" s="2"/>
      <c r="I837" s="2"/>
      <c r="J837" s="2"/>
      <c r="K837" s="2"/>
      <c r="L837" s="2"/>
      <c r="M837" s="2"/>
      <c r="N837" s="2"/>
      <c r="O837" s="7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7"/>
      <c r="D838" s="7"/>
      <c r="E838" s="2"/>
      <c r="F838" s="24"/>
      <c r="G838" s="24"/>
      <c r="H838" s="2"/>
      <c r="I838" s="2"/>
      <c r="J838" s="2"/>
      <c r="K838" s="2"/>
      <c r="L838" s="2"/>
      <c r="M838" s="2"/>
      <c r="N838" s="2"/>
      <c r="O838" s="7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7"/>
      <c r="D839" s="7"/>
      <c r="E839" s="2"/>
      <c r="F839" s="24"/>
      <c r="G839" s="24"/>
      <c r="H839" s="2"/>
      <c r="I839" s="2"/>
      <c r="J839" s="2"/>
      <c r="K839" s="2"/>
      <c r="L839" s="2"/>
      <c r="M839" s="2"/>
      <c r="N839" s="2"/>
      <c r="O839" s="7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7"/>
      <c r="D840" s="7"/>
      <c r="E840" s="2"/>
      <c r="F840" s="24"/>
      <c r="G840" s="24"/>
      <c r="H840" s="2"/>
      <c r="I840" s="2"/>
      <c r="J840" s="2"/>
      <c r="K840" s="2"/>
      <c r="L840" s="2"/>
      <c r="M840" s="2"/>
      <c r="N840" s="2"/>
      <c r="O840" s="7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7"/>
      <c r="D841" s="7"/>
      <c r="E841" s="2"/>
      <c r="F841" s="24"/>
      <c r="G841" s="24"/>
      <c r="H841" s="2"/>
      <c r="I841" s="2"/>
      <c r="J841" s="2"/>
      <c r="K841" s="2"/>
      <c r="L841" s="2"/>
      <c r="M841" s="2"/>
      <c r="N841" s="2"/>
      <c r="O841" s="7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7"/>
      <c r="D842" s="7"/>
      <c r="E842" s="2"/>
      <c r="F842" s="24"/>
      <c r="G842" s="24"/>
      <c r="H842" s="2"/>
      <c r="I842" s="2"/>
      <c r="J842" s="2"/>
      <c r="K842" s="2"/>
      <c r="L842" s="2"/>
      <c r="M842" s="2"/>
      <c r="N842" s="2"/>
      <c r="O842" s="7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7"/>
      <c r="D843" s="7"/>
      <c r="E843" s="2"/>
      <c r="F843" s="24"/>
      <c r="G843" s="24"/>
      <c r="H843" s="2"/>
      <c r="I843" s="2"/>
      <c r="J843" s="2"/>
      <c r="K843" s="2"/>
      <c r="L843" s="2"/>
      <c r="M843" s="2"/>
      <c r="N843" s="2"/>
      <c r="O843" s="7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7"/>
      <c r="D844" s="7"/>
      <c r="E844" s="2"/>
      <c r="F844" s="24"/>
      <c r="G844" s="24"/>
      <c r="H844" s="2"/>
      <c r="I844" s="2"/>
      <c r="J844" s="2"/>
      <c r="K844" s="2"/>
      <c r="L844" s="2"/>
      <c r="M844" s="2"/>
      <c r="N844" s="2"/>
      <c r="O844" s="7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7"/>
      <c r="D845" s="7"/>
      <c r="E845" s="2"/>
      <c r="F845" s="24"/>
      <c r="G845" s="24"/>
      <c r="H845" s="2"/>
      <c r="I845" s="2"/>
      <c r="J845" s="2"/>
      <c r="K845" s="2"/>
      <c r="L845" s="2"/>
      <c r="M845" s="2"/>
      <c r="N845" s="2"/>
      <c r="O845" s="7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7"/>
      <c r="D846" s="7"/>
      <c r="E846" s="2"/>
      <c r="F846" s="24"/>
      <c r="G846" s="24"/>
      <c r="H846" s="2"/>
      <c r="I846" s="2"/>
      <c r="J846" s="2"/>
      <c r="K846" s="2"/>
      <c r="L846" s="2"/>
      <c r="M846" s="2"/>
      <c r="N846" s="2"/>
      <c r="O846" s="7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7"/>
      <c r="D847" s="7"/>
      <c r="E847" s="2"/>
      <c r="F847" s="24"/>
      <c r="G847" s="24"/>
      <c r="H847" s="2"/>
      <c r="I847" s="2"/>
      <c r="J847" s="2"/>
      <c r="K847" s="2"/>
      <c r="L847" s="2"/>
      <c r="M847" s="2"/>
      <c r="N847" s="2"/>
      <c r="O847" s="7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7"/>
      <c r="D848" s="7"/>
      <c r="E848" s="2"/>
      <c r="F848" s="24"/>
      <c r="G848" s="24"/>
      <c r="H848" s="2"/>
      <c r="I848" s="2"/>
      <c r="J848" s="2"/>
      <c r="K848" s="2"/>
      <c r="L848" s="2"/>
      <c r="M848" s="2"/>
      <c r="N848" s="2"/>
      <c r="O848" s="7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7"/>
      <c r="D849" s="7"/>
      <c r="E849" s="2"/>
      <c r="F849" s="24"/>
      <c r="G849" s="24"/>
      <c r="H849" s="2"/>
      <c r="I849" s="2"/>
      <c r="J849" s="2"/>
      <c r="K849" s="2"/>
      <c r="L849" s="2"/>
      <c r="M849" s="2"/>
      <c r="N849" s="2"/>
      <c r="O849" s="7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7"/>
      <c r="D850" s="7"/>
      <c r="E850" s="2"/>
      <c r="F850" s="24"/>
      <c r="G850" s="24"/>
      <c r="H850" s="2"/>
      <c r="I850" s="2"/>
      <c r="J850" s="2"/>
      <c r="K850" s="2"/>
      <c r="L850" s="2"/>
      <c r="M850" s="2"/>
      <c r="N850" s="2"/>
      <c r="O850" s="7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7"/>
      <c r="D851" s="7"/>
      <c r="E851" s="2"/>
      <c r="F851" s="24"/>
      <c r="G851" s="24"/>
      <c r="H851" s="2"/>
      <c r="I851" s="2"/>
      <c r="J851" s="2"/>
      <c r="K851" s="2"/>
      <c r="L851" s="2"/>
      <c r="M851" s="2"/>
      <c r="N851" s="2"/>
      <c r="O851" s="7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7"/>
      <c r="D852" s="7"/>
      <c r="E852" s="2"/>
      <c r="F852" s="24"/>
      <c r="G852" s="24"/>
      <c r="H852" s="2"/>
      <c r="I852" s="2"/>
      <c r="J852" s="2"/>
      <c r="K852" s="2"/>
      <c r="L852" s="2"/>
      <c r="M852" s="2"/>
      <c r="N852" s="2"/>
      <c r="O852" s="7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7"/>
      <c r="D853" s="7"/>
      <c r="E853" s="2"/>
      <c r="F853" s="24"/>
      <c r="G853" s="24"/>
      <c r="H853" s="2"/>
      <c r="I853" s="2"/>
      <c r="J853" s="2"/>
      <c r="K853" s="2"/>
      <c r="L853" s="2"/>
      <c r="M853" s="2"/>
      <c r="N853" s="2"/>
      <c r="O853" s="7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7"/>
      <c r="D854" s="7"/>
      <c r="E854" s="2"/>
      <c r="F854" s="24"/>
      <c r="G854" s="24"/>
      <c r="H854" s="2"/>
      <c r="I854" s="2"/>
      <c r="J854" s="2"/>
      <c r="K854" s="2"/>
      <c r="L854" s="2"/>
      <c r="M854" s="2"/>
      <c r="N854" s="2"/>
      <c r="O854" s="7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7"/>
      <c r="D855" s="7"/>
      <c r="E855" s="2"/>
      <c r="F855" s="24"/>
      <c r="G855" s="24"/>
      <c r="H855" s="2"/>
      <c r="I855" s="2"/>
      <c r="J855" s="2"/>
      <c r="K855" s="2"/>
      <c r="L855" s="2"/>
      <c r="M855" s="2"/>
      <c r="N855" s="2"/>
      <c r="O855" s="7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7"/>
      <c r="D856" s="7"/>
      <c r="E856" s="2"/>
      <c r="F856" s="24"/>
      <c r="G856" s="24"/>
      <c r="H856" s="2"/>
      <c r="I856" s="2"/>
      <c r="J856" s="2"/>
      <c r="K856" s="2"/>
      <c r="L856" s="2"/>
      <c r="M856" s="2"/>
      <c r="N856" s="2"/>
      <c r="O856" s="7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7"/>
      <c r="D857" s="7"/>
      <c r="E857" s="2"/>
      <c r="F857" s="24"/>
      <c r="G857" s="24"/>
      <c r="H857" s="2"/>
      <c r="I857" s="2"/>
      <c r="J857" s="2"/>
      <c r="K857" s="2"/>
      <c r="L857" s="2"/>
      <c r="M857" s="2"/>
      <c r="N857" s="2"/>
      <c r="O857" s="7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7"/>
      <c r="D858" s="7"/>
      <c r="E858" s="2"/>
      <c r="F858" s="24"/>
      <c r="G858" s="24"/>
      <c r="H858" s="2"/>
      <c r="I858" s="2"/>
      <c r="J858" s="2"/>
      <c r="K858" s="2"/>
      <c r="L858" s="2"/>
      <c r="M858" s="2"/>
      <c r="N858" s="2"/>
      <c r="O858" s="7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7"/>
      <c r="D859" s="7"/>
      <c r="E859" s="2"/>
      <c r="F859" s="24"/>
      <c r="G859" s="24"/>
      <c r="H859" s="2"/>
      <c r="I859" s="2"/>
      <c r="J859" s="2"/>
      <c r="K859" s="2"/>
      <c r="L859" s="2"/>
      <c r="M859" s="2"/>
      <c r="N859" s="2"/>
      <c r="O859" s="7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7"/>
      <c r="D860" s="7"/>
      <c r="E860" s="2"/>
      <c r="F860" s="24"/>
      <c r="G860" s="24"/>
      <c r="H860" s="2"/>
      <c r="I860" s="2"/>
      <c r="J860" s="2"/>
      <c r="K860" s="2"/>
      <c r="L860" s="2"/>
      <c r="M860" s="2"/>
      <c r="N860" s="2"/>
      <c r="O860" s="7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7"/>
      <c r="D861" s="7"/>
      <c r="E861" s="2"/>
      <c r="F861" s="24"/>
      <c r="G861" s="24"/>
      <c r="H861" s="2"/>
      <c r="I861" s="2"/>
      <c r="J861" s="2"/>
      <c r="K861" s="2"/>
      <c r="L861" s="2"/>
      <c r="M861" s="2"/>
      <c r="N861" s="2"/>
      <c r="O861" s="7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7"/>
      <c r="D862" s="7"/>
      <c r="E862" s="2"/>
      <c r="F862" s="24"/>
      <c r="G862" s="24"/>
      <c r="H862" s="2"/>
      <c r="I862" s="2"/>
      <c r="J862" s="2"/>
      <c r="K862" s="2"/>
      <c r="L862" s="2"/>
      <c r="M862" s="2"/>
      <c r="N862" s="2"/>
      <c r="O862" s="7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7"/>
      <c r="D863" s="7"/>
      <c r="E863" s="2"/>
      <c r="F863" s="24"/>
      <c r="G863" s="24"/>
      <c r="H863" s="2"/>
      <c r="I863" s="2"/>
      <c r="J863" s="2"/>
      <c r="K863" s="2"/>
      <c r="L863" s="2"/>
      <c r="M863" s="2"/>
      <c r="N863" s="2"/>
      <c r="O863" s="7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7"/>
      <c r="D864" s="7"/>
      <c r="E864" s="2"/>
      <c r="F864" s="24"/>
      <c r="G864" s="24"/>
      <c r="H864" s="2"/>
      <c r="I864" s="2"/>
      <c r="J864" s="2"/>
      <c r="K864" s="2"/>
      <c r="L864" s="2"/>
      <c r="M864" s="2"/>
      <c r="N864" s="2"/>
      <c r="O864" s="7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7"/>
      <c r="D865" s="7"/>
      <c r="E865" s="2"/>
      <c r="F865" s="24"/>
      <c r="G865" s="24"/>
      <c r="H865" s="2"/>
      <c r="I865" s="2"/>
      <c r="J865" s="2"/>
      <c r="K865" s="2"/>
      <c r="L865" s="2"/>
      <c r="M865" s="2"/>
      <c r="N865" s="2"/>
      <c r="O865" s="7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7"/>
      <c r="D866" s="7"/>
      <c r="E866" s="2"/>
      <c r="F866" s="24"/>
      <c r="G866" s="24"/>
      <c r="H866" s="2"/>
      <c r="I866" s="2"/>
      <c r="J866" s="2"/>
      <c r="K866" s="2"/>
      <c r="L866" s="2"/>
      <c r="M866" s="2"/>
      <c r="N866" s="2"/>
      <c r="O866" s="7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7"/>
      <c r="D867" s="7"/>
      <c r="E867" s="2"/>
      <c r="F867" s="24"/>
      <c r="G867" s="24"/>
      <c r="H867" s="2"/>
      <c r="I867" s="2"/>
      <c r="J867" s="2"/>
      <c r="K867" s="2"/>
      <c r="L867" s="2"/>
      <c r="M867" s="2"/>
      <c r="N867" s="2"/>
      <c r="O867" s="7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7"/>
      <c r="D868" s="7"/>
      <c r="E868" s="2"/>
      <c r="F868" s="24"/>
      <c r="G868" s="24"/>
      <c r="H868" s="2"/>
      <c r="I868" s="2"/>
      <c r="J868" s="2"/>
      <c r="K868" s="2"/>
      <c r="L868" s="2"/>
      <c r="M868" s="2"/>
      <c r="N868" s="2"/>
      <c r="O868" s="7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7"/>
      <c r="D869" s="7"/>
      <c r="E869" s="2"/>
      <c r="F869" s="24"/>
      <c r="G869" s="24"/>
      <c r="H869" s="2"/>
      <c r="I869" s="2"/>
      <c r="J869" s="2"/>
      <c r="K869" s="2"/>
      <c r="L869" s="2"/>
      <c r="M869" s="2"/>
      <c r="N869" s="2"/>
      <c r="O869" s="7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7"/>
      <c r="D870" s="7"/>
      <c r="E870" s="2"/>
      <c r="F870" s="24"/>
      <c r="G870" s="24"/>
      <c r="H870" s="2"/>
      <c r="I870" s="2"/>
      <c r="J870" s="2"/>
      <c r="K870" s="2"/>
      <c r="L870" s="2"/>
      <c r="M870" s="2"/>
      <c r="N870" s="2"/>
      <c r="O870" s="7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7"/>
      <c r="D871" s="7"/>
      <c r="E871" s="2"/>
      <c r="F871" s="24"/>
      <c r="G871" s="24"/>
      <c r="H871" s="2"/>
      <c r="I871" s="2"/>
      <c r="J871" s="2"/>
      <c r="K871" s="2"/>
      <c r="L871" s="2"/>
      <c r="M871" s="2"/>
      <c r="N871" s="2"/>
      <c r="O871" s="7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7"/>
      <c r="D872" s="7"/>
      <c r="E872" s="2"/>
      <c r="F872" s="24"/>
      <c r="G872" s="24"/>
      <c r="H872" s="2"/>
      <c r="I872" s="2"/>
      <c r="J872" s="2"/>
      <c r="K872" s="2"/>
      <c r="L872" s="2"/>
      <c r="M872" s="2"/>
      <c r="N872" s="2"/>
      <c r="O872" s="7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7"/>
      <c r="D873" s="7"/>
      <c r="E873" s="2"/>
      <c r="F873" s="24"/>
      <c r="G873" s="24"/>
      <c r="H873" s="2"/>
      <c r="I873" s="2"/>
      <c r="J873" s="2"/>
      <c r="K873" s="2"/>
      <c r="L873" s="2"/>
      <c r="M873" s="2"/>
      <c r="N873" s="2"/>
      <c r="O873" s="7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7"/>
      <c r="D874" s="7"/>
      <c r="E874" s="2"/>
      <c r="F874" s="24"/>
      <c r="G874" s="24"/>
      <c r="H874" s="2"/>
      <c r="I874" s="2"/>
      <c r="J874" s="2"/>
      <c r="K874" s="2"/>
      <c r="L874" s="2"/>
      <c r="M874" s="2"/>
      <c r="N874" s="2"/>
      <c r="O874" s="7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7"/>
      <c r="D875" s="7"/>
      <c r="E875" s="2"/>
      <c r="F875" s="24"/>
      <c r="G875" s="24"/>
      <c r="H875" s="2"/>
      <c r="I875" s="2"/>
      <c r="J875" s="2"/>
      <c r="K875" s="2"/>
      <c r="L875" s="2"/>
      <c r="M875" s="2"/>
      <c r="N875" s="2"/>
      <c r="O875" s="7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7"/>
      <c r="D876" s="7"/>
      <c r="E876" s="2"/>
      <c r="F876" s="24"/>
      <c r="G876" s="24"/>
      <c r="H876" s="2"/>
      <c r="I876" s="2"/>
      <c r="J876" s="2"/>
      <c r="K876" s="2"/>
      <c r="L876" s="2"/>
      <c r="M876" s="2"/>
      <c r="N876" s="2"/>
      <c r="O876" s="7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7"/>
      <c r="D877" s="7"/>
      <c r="E877" s="2"/>
      <c r="F877" s="24"/>
      <c r="G877" s="24"/>
      <c r="H877" s="2"/>
      <c r="I877" s="2"/>
      <c r="J877" s="2"/>
      <c r="K877" s="2"/>
      <c r="L877" s="2"/>
      <c r="M877" s="2"/>
      <c r="N877" s="2"/>
      <c r="O877" s="7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7"/>
      <c r="D878" s="7"/>
      <c r="E878" s="2"/>
      <c r="F878" s="24"/>
      <c r="G878" s="24"/>
      <c r="H878" s="2"/>
      <c r="I878" s="2"/>
      <c r="J878" s="2"/>
      <c r="K878" s="2"/>
      <c r="L878" s="2"/>
      <c r="M878" s="2"/>
      <c r="N878" s="2"/>
      <c r="O878" s="7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7"/>
      <c r="D879" s="7"/>
      <c r="E879" s="2"/>
      <c r="F879" s="24"/>
      <c r="G879" s="24"/>
      <c r="H879" s="2"/>
      <c r="I879" s="2"/>
      <c r="J879" s="2"/>
      <c r="K879" s="2"/>
      <c r="L879" s="2"/>
      <c r="M879" s="2"/>
      <c r="N879" s="2"/>
      <c r="O879" s="7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7"/>
      <c r="D880" s="7"/>
      <c r="E880" s="2"/>
      <c r="F880" s="24"/>
      <c r="G880" s="24"/>
      <c r="H880" s="2"/>
      <c r="I880" s="2"/>
      <c r="J880" s="2"/>
      <c r="K880" s="2"/>
      <c r="L880" s="2"/>
      <c r="M880" s="2"/>
      <c r="N880" s="2"/>
      <c r="O880" s="7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7"/>
      <c r="D881" s="7"/>
      <c r="E881" s="2"/>
      <c r="F881" s="24"/>
      <c r="G881" s="24"/>
      <c r="H881" s="2"/>
      <c r="I881" s="2"/>
      <c r="J881" s="2"/>
      <c r="K881" s="2"/>
      <c r="L881" s="2"/>
      <c r="M881" s="2"/>
      <c r="N881" s="2"/>
      <c r="O881" s="7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7"/>
      <c r="D882" s="7"/>
      <c r="E882" s="2"/>
      <c r="F882" s="24"/>
      <c r="G882" s="24"/>
      <c r="H882" s="2"/>
      <c r="I882" s="2"/>
      <c r="J882" s="2"/>
      <c r="K882" s="2"/>
      <c r="L882" s="2"/>
      <c r="M882" s="2"/>
      <c r="N882" s="2"/>
      <c r="O882" s="7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7"/>
      <c r="D883" s="7"/>
      <c r="E883" s="2"/>
      <c r="F883" s="24"/>
      <c r="G883" s="24"/>
      <c r="H883" s="2"/>
      <c r="I883" s="2"/>
      <c r="J883" s="2"/>
      <c r="K883" s="2"/>
      <c r="L883" s="2"/>
      <c r="M883" s="2"/>
      <c r="N883" s="2"/>
      <c r="O883" s="7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7"/>
      <c r="D884" s="7"/>
      <c r="E884" s="2"/>
      <c r="F884" s="24"/>
      <c r="G884" s="24"/>
      <c r="H884" s="2"/>
      <c r="I884" s="2"/>
      <c r="J884" s="2"/>
      <c r="K884" s="2"/>
      <c r="L884" s="2"/>
      <c r="M884" s="2"/>
      <c r="N884" s="2"/>
      <c r="O884" s="7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7"/>
      <c r="D885" s="7"/>
      <c r="E885" s="2"/>
      <c r="F885" s="24"/>
      <c r="G885" s="24"/>
      <c r="H885" s="2"/>
      <c r="I885" s="2"/>
      <c r="J885" s="2"/>
      <c r="K885" s="2"/>
      <c r="L885" s="2"/>
      <c r="M885" s="2"/>
      <c r="N885" s="2"/>
      <c r="O885" s="7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7"/>
      <c r="D886" s="7"/>
      <c r="E886" s="2"/>
      <c r="F886" s="24"/>
      <c r="G886" s="24"/>
      <c r="H886" s="2"/>
      <c r="I886" s="2"/>
      <c r="J886" s="2"/>
      <c r="K886" s="2"/>
      <c r="L886" s="2"/>
      <c r="M886" s="2"/>
      <c r="N886" s="2"/>
      <c r="O886" s="7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7"/>
      <c r="D887" s="7"/>
      <c r="E887" s="2"/>
      <c r="F887" s="24"/>
      <c r="G887" s="24"/>
      <c r="H887" s="2"/>
      <c r="I887" s="2"/>
      <c r="J887" s="2"/>
      <c r="K887" s="2"/>
      <c r="L887" s="2"/>
      <c r="M887" s="2"/>
      <c r="N887" s="2"/>
      <c r="O887" s="7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7"/>
      <c r="D888" s="7"/>
      <c r="E888" s="2"/>
      <c r="F888" s="24"/>
      <c r="G888" s="24"/>
      <c r="H888" s="2"/>
      <c r="I888" s="2"/>
      <c r="J888" s="2"/>
      <c r="K888" s="2"/>
      <c r="L888" s="2"/>
      <c r="M888" s="2"/>
      <c r="N888" s="2"/>
      <c r="O888" s="7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7"/>
      <c r="D889" s="7"/>
      <c r="E889" s="2"/>
      <c r="F889" s="24"/>
      <c r="G889" s="24"/>
      <c r="H889" s="2"/>
      <c r="I889" s="2"/>
      <c r="J889" s="2"/>
      <c r="K889" s="2"/>
      <c r="L889" s="2"/>
      <c r="M889" s="2"/>
      <c r="N889" s="2"/>
      <c r="O889" s="7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7"/>
      <c r="D890" s="7"/>
      <c r="E890" s="2"/>
      <c r="F890" s="24"/>
      <c r="G890" s="24"/>
      <c r="H890" s="2"/>
      <c r="I890" s="2"/>
      <c r="J890" s="2"/>
      <c r="K890" s="2"/>
      <c r="L890" s="2"/>
      <c r="M890" s="2"/>
      <c r="N890" s="2"/>
      <c r="O890" s="7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7"/>
      <c r="D891" s="7"/>
      <c r="E891" s="2"/>
      <c r="F891" s="24"/>
      <c r="G891" s="24"/>
      <c r="H891" s="2"/>
      <c r="I891" s="2"/>
      <c r="J891" s="2"/>
      <c r="K891" s="2"/>
      <c r="L891" s="2"/>
      <c r="M891" s="2"/>
      <c r="N891" s="2"/>
      <c r="O891" s="7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7"/>
      <c r="D892" s="7"/>
      <c r="E892" s="2"/>
      <c r="F892" s="24"/>
      <c r="G892" s="24"/>
      <c r="H892" s="2"/>
      <c r="I892" s="2"/>
      <c r="J892" s="2"/>
      <c r="K892" s="2"/>
      <c r="L892" s="2"/>
      <c r="M892" s="2"/>
      <c r="N892" s="2"/>
      <c r="O892" s="7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7"/>
      <c r="D893" s="7"/>
      <c r="E893" s="2"/>
      <c r="F893" s="24"/>
      <c r="G893" s="24"/>
      <c r="H893" s="2"/>
      <c r="I893" s="2"/>
      <c r="J893" s="2"/>
      <c r="K893" s="2"/>
      <c r="L893" s="2"/>
      <c r="M893" s="2"/>
      <c r="N893" s="2"/>
      <c r="O893" s="7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7"/>
      <c r="D894" s="7"/>
      <c r="E894" s="2"/>
      <c r="F894" s="24"/>
      <c r="G894" s="24"/>
      <c r="H894" s="2"/>
      <c r="I894" s="2"/>
      <c r="J894" s="2"/>
      <c r="K894" s="2"/>
      <c r="L894" s="2"/>
      <c r="M894" s="2"/>
      <c r="N894" s="2"/>
      <c r="O894" s="7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7"/>
      <c r="D895" s="7"/>
      <c r="E895" s="2"/>
      <c r="F895" s="24"/>
      <c r="G895" s="24"/>
      <c r="H895" s="2"/>
      <c r="I895" s="2"/>
      <c r="J895" s="2"/>
      <c r="K895" s="2"/>
      <c r="L895" s="2"/>
      <c r="M895" s="2"/>
      <c r="N895" s="2"/>
      <c r="O895" s="7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7"/>
      <c r="D896" s="7"/>
      <c r="E896" s="2"/>
      <c r="F896" s="24"/>
      <c r="G896" s="24"/>
      <c r="H896" s="2"/>
      <c r="I896" s="2"/>
      <c r="J896" s="2"/>
      <c r="K896" s="2"/>
      <c r="L896" s="2"/>
      <c r="M896" s="2"/>
      <c r="N896" s="2"/>
      <c r="O896" s="7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7"/>
      <c r="D897" s="7"/>
      <c r="E897" s="2"/>
      <c r="F897" s="24"/>
      <c r="G897" s="24"/>
      <c r="H897" s="2"/>
      <c r="I897" s="2"/>
      <c r="J897" s="2"/>
      <c r="K897" s="2"/>
      <c r="L897" s="2"/>
      <c r="M897" s="2"/>
      <c r="N897" s="2"/>
      <c r="O897" s="7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7"/>
      <c r="D898" s="7"/>
      <c r="E898" s="2"/>
      <c r="F898" s="24"/>
      <c r="G898" s="24"/>
      <c r="H898" s="2"/>
      <c r="I898" s="2"/>
      <c r="J898" s="2"/>
      <c r="K898" s="2"/>
      <c r="L898" s="2"/>
      <c r="M898" s="2"/>
      <c r="N898" s="2"/>
      <c r="O898" s="7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7"/>
      <c r="D899" s="7"/>
      <c r="E899" s="2"/>
      <c r="F899" s="24"/>
      <c r="G899" s="24"/>
      <c r="H899" s="2"/>
      <c r="I899" s="2"/>
      <c r="J899" s="2"/>
      <c r="K899" s="2"/>
      <c r="L899" s="2"/>
      <c r="M899" s="2"/>
      <c r="N899" s="2"/>
      <c r="O899" s="7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7"/>
      <c r="D900" s="7"/>
      <c r="E900" s="2"/>
      <c r="F900" s="24"/>
      <c r="G900" s="24"/>
      <c r="H900" s="2"/>
      <c r="I900" s="2"/>
      <c r="J900" s="2"/>
      <c r="K900" s="2"/>
      <c r="L900" s="2"/>
      <c r="M900" s="2"/>
      <c r="N900" s="2"/>
      <c r="O900" s="7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7"/>
      <c r="D901" s="7"/>
      <c r="E901" s="2"/>
      <c r="F901" s="24"/>
      <c r="G901" s="24"/>
      <c r="H901" s="2"/>
      <c r="I901" s="2"/>
      <c r="J901" s="2"/>
      <c r="K901" s="2"/>
      <c r="L901" s="2"/>
      <c r="M901" s="2"/>
      <c r="N901" s="2"/>
      <c r="O901" s="7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7"/>
      <c r="D902" s="7"/>
      <c r="E902" s="2"/>
      <c r="F902" s="24"/>
      <c r="G902" s="24"/>
      <c r="H902" s="2"/>
      <c r="I902" s="2"/>
      <c r="J902" s="2"/>
      <c r="K902" s="2"/>
      <c r="L902" s="2"/>
      <c r="M902" s="2"/>
      <c r="N902" s="2"/>
      <c r="O902" s="7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7"/>
      <c r="D903" s="7"/>
      <c r="E903" s="2"/>
      <c r="F903" s="24"/>
      <c r="G903" s="24"/>
      <c r="H903" s="2"/>
      <c r="I903" s="2"/>
      <c r="J903" s="2"/>
      <c r="K903" s="2"/>
      <c r="L903" s="2"/>
      <c r="M903" s="2"/>
      <c r="N903" s="2"/>
      <c r="O903" s="7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7"/>
      <c r="D904" s="7"/>
      <c r="E904" s="2"/>
      <c r="F904" s="24"/>
      <c r="G904" s="24"/>
      <c r="H904" s="2"/>
      <c r="I904" s="2"/>
      <c r="J904" s="2"/>
      <c r="K904" s="2"/>
      <c r="L904" s="2"/>
      <c r="M904" s="2"/>
      <c r="N904" s="2"/>
      <c r="O904" s="7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7"/>
      <c r="D905" s="7"/>
      <c r="E905" s="2"/>
      <c r="F905" s="24"/>
      <c r="G905" s="24"/>
      <c r="H905" s="2"/>
      <c r="I905" s="2"/>
      <c r="J905" s="2"/>
      <c r="K905" s="2"/>
      <c r="L905" s="2"/>
      <c r="M905" s="2"/>
      <c r="N905" s="2"/>
      <c r="O905" s="7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7"/>
      <c r="D906" s="7"/>
      <c r="E906" s="2"/>
      <c r="F906" s="24"/>
      <c r="G906" s="24"/>
      <c r="H906" s="2"/>
      <c r="I906" s="2"/>
      <c r="J906" s="2"/>
      <c r="K906" s="2"/>
      <c r="L906" s="2"/>
      <c r="M906" s="2"/>
      <c r="N906" s="2"/>
      <c r="O906" s="7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7"/>
      <c r="D907" s="7"/>
      <c r="E907" s="2"/>
      <c r="F907" s="24"/>
      <c r="G907" s="24"/>
      <c r="H907" s="2"/>
      <c r="I907" s="2"/>
      <c r="J907" s="2"/>
      <c r="K907" s="2"/>
      <c r="L907" s="2"/>
      <c r="M907" s="2"/>
      <c r="N907" s="2"/>
      <c r="O907" s="7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7"/>
      <c r="D908" s="7"/>
      <c r="E908" s="2"/>
      <c r="F908" s="24"/>
      <c r="G908" s="24"/>
      <c r="H908" s="2"/>
      <c r="I908" s="2"/>
      <c r="J908" s="2"/>
      <c r="K908" s="2"/>
      <c r="L908" s="2"/>
      <c r="M908" s="2"/>
      <c r="N908" s="2"/>
      <c r="O908" s="7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7"/>
      <c r="D909" s="7"/>
      <c r="E909" s="2"/>
      <c r="F909" s="24"/>
      <c r="G909" s="24"/>
      <c r="H909" s="2"/>
      <c r="I909" s="2"/>
      <c r="J909" s="2"/>
      <c r="K909" s="2"/>
      <c r="L909" s="2"/>
      <c r="M909" s="2"/>
      <c r="N909" s="2"/>
      <c r="O909" s="7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7"/>
      <c r="D910" s="7"/>
      <c r="E910" s="2"/>
      <c r="F910" s="24"/>
      <c r="G910" s="24"/>
      <c r="H910" s="2"/>
      <c r="I910" s="2"/>
      <c r="J910" s="2"/>
      <c r="K910" s="2"/>
      <c r="L910" s="2"/>
      <c r="M910" s="2"/>
      <c r="N910" s="2"/>
      <c r="O910" s="7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7"/>
      <c r="D911" s="7"/>
      <c r="E911" s="2"/>
      <c r="F911" s="24"/>
      <c r="G911" s="24"/>
      <c r="H911" s="2"/>
      <c r="I911" s="2"/>
      <c r="J911" s="2"/>
      <c r="K911" s="2"/>
      <c r="L911" s="2"/>
      <c r="M911" s="2"/>
      <c r="N911" s="2"/>
      <c r="O911" s="7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7"/>
      <c r="D912" s="7"/>
      <c r="E912" s="2"/>
      <c r="F912" s="24"/>
      <c r="G912" s="24"/>
      <c r="H912" s="2"/>
      <c r="I912" s="2"/>
      <c r="J912" s="2"/>
      <c r="K912" s="2"/>
      <c r="L912" s="2"/>
      <c r="M912" s="2"/>
      <c r="N912" s="2"/>
      <c r="O912" s="7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7"/>
      <c r="D913" s="7"/>
      <c r="E913" s="2"/>
      <c r="F913" s="24"/>
      <c r="G913" s="24"/>
      <c r="H913" s="2"/>
      <c r="I913" s="2"/>
      <c r="J913" s="2"/>
      <c r="K913" s="2"/>
      <c r="L913" s="2"/>
      <c r="M913" s="2"/>
      <c r="N913" s="2"/>
      <c r="O913" s="7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7"/>
      <c r="D914" s="7"/>
      <c r="E914" s="2"/>
      <c r="F914" s="24"/>
      <c r="G914" s="24"/>
      <c r="H914" s="2"/>
      <c r="I914" s="2"/>
      <c r="J914" s="2"/>
      <c r="K914" s="2"/>
      <c r="L914" s="2"/>
      <c r="M914" s="2"/>
      <c r="N914" s="2"/>
      <c r="O914" s="7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7"/>
      <c r="D915" s="7"/>
      <c r="E915" s="2"/>
      <c r="F915" s="24"/>
      <c r="G915" s="24"/>
      <c r="H915" s="2"/>
      <c r="I915" s="2"/>
      <c r="J915" s="2"/>
      <c r="K915" s="2"/>
      <c r="L915" s="2"/>
      <c r="M915" s="2"/>
      <c r="N915" s="2"/>
      <c r="O915" s="7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7"/>
      <c r="D916" s="7"/>
      <c r="E916" s="2"/>
      <c r="F916" s="24"/>
      <c r="G916" s="24"/>
      <c r="H916" s="2"/>
      <c r="I916" s="2"/>
      <c r="J916" s="2"/>
      <c r="K916" s="2"/>
      <c r="L916" s="2"/>
      <c r="M916" s="2"/>
      <c r="N916" s="2"/>
      <c r="O916" s="7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7"/>
      <c r="D917" s="7"/>
      <c r="E917" s="2"/>
      <c r="F917" s="24"/>
      <c r="G917" s="24"/>
      <c r="H917" s="2"/>
      <c r="I917" s="2"/>
      <c r="J917" s="2"/>
      <c r="K917" s="2"/>
      <c r="L917" s="2"/>
      <c r="M917" s="2"/>
      <c r="N917" s="2"/>
      <c r="O917" s="7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7"/>
      <c r="D918" s="7"/>
      <c r="E918" s="2"/>
      <c r="F918" s="24"/>
      <c r="G918" s="24"/>
      <c r="H918" s="2"/>
      <c r="I918" s="2"/>
      <c r="J918" s="2"/>
      <c r="K918" s="2"/>
      <c r="L918" s="2"/>
      <c r="M918" s="2"/>
      <c r="N918" s="2"/>
      <c r="O918" s="7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7"/>
      <c r="D919" s="7"/>
      <c r="E919" s="2"/>
      <c r="F919" s="24"/>
      <c r="G919" s="24"/>
      <c r="H919" s="2"/>
      <c r="I919" s="2"/>
      <c r="J919" s="2"/>
      <c r="K919" s="2"/>
      <c r="L919" s="2"/>
      <c r="M919" s="2"/>
      <c r="N919" s="2"/>
      <c r="O919" s="7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7"/>
      <c r="D920" s="7"/>
      <c r="E920" s="2"/>
      <c r="F920" s="24"/>
      <c r="G920" s="24"/>
      <c r="H920" s="2"/>
      <c r="I920" s="2"/>
      <c r="J920" s="2"/>
      <c r="K920" s="2"/>
      <c r="L920" s="2"/>
      <c r="M920" s="2"/>
      <c r="N920" s="2"/>
      <c r="O920" s="7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7"/>
      <c r="D921" s="7"/>
      <c r="E921" s="2"/>
      <c r="F921" s="24"/>
      <c r="G921" s="24"/>
      <c r="H921" s="2"/>
      <c r="I921" s="2"/>
      <c r="J921" s="2"/>
      <c r="K921" s="2"/>
      <c r="L921" s="2"/>
      <c r="M921" s="2"/>
      <c r="N921" s="2"/>
      <c r="O921" s="7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7"/>
      <c r="D922" s="7"/>
      <c r="E922" s="2"/>
      <c r="F922" s="24"/>
      <c r="G922" s="24"/>
      <c r="H922" s="2"/>
      <c r="I922" s="2"/>
      <c r="J922" s="2"/>
      <c r="K922" s="2"/>
      <c r="L922" s="2"/>
      <c r="M922" s="2"/>
      <c r="N922" s="2"/>
      <c r="O922" s="7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7"/>
      <c r="D923" s="7"/>
      <c r="E923" s="2"/>
      <c r="F923" s="24"/>
      <c r="G923" s="24"/>
      <c r="H923" s="2"/>
      <c r="I923" s="2"/>
      <c r="J923" s="2"/>
      <c r="K923" s="2"/>
      <c r="L923" s="2"/>
      <c r="M923" s="2"/>
      <c r="N923" s="2"/>
      <c r="O923" s="7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7"/>
      <c r="D924" s="7"/>
      <c r="E924" s="2"/>
      <c r="F924" s="24"/>
      <c r="G924" s="24"/>
      <c r="H924" s="2"/>
      <c r="I924" s="2"/>
      <c r="J924" s="2"/>
      <c r="K924" s="2"/>
      <c r="L924" s="2"/>
      <c r="M924" s="2"/>
      <c r="N924" s="2"/>
      <c r="O924" s="7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7"/>
      <c r="D925" s="7"/>
      <c r="E925" s="2"/>
      <c r="F925" s="24"/>
      <c r="G925" s="24"/>
      <c r="H925" s="2"/>
      <c r="I925" s="2"/>
      <c r="J925" s="2"/>
      <c r="K925" s="2"/>
      <c r="L925" s="2"/>
      <c r="M925" s="2"/>
      <c r="N925" s="2"/>
      <c r="O925" s="7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7"/>
      <c r="D926" s="7"/>
      <c r="E926" s="2"/>
      <c r="F926" s="24"/>
      <c r="G926" s="24"/>
      <c r="H926" s="2"/>
      <c r="I926" s="2"/>
      <c r="J926" s="2"/>
      <c r="K926" s="2"/>
      <c r="L926" s="2"/>
      <c r="M926" s="2"/>
      <c r="N926" s="2"/>
      <c r="O926" s="7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7"/>
      <c r="D927" s="7"/>
      <c r="E927" s="2"/>
      <c r="F927" s="24"/>
      <c r="G927" s="24"/>
      <c r="H927" s="2"/>
      <c r="I927" s="2"/>
      <c r="J927" s="2"/>
      <c r="K927" s="2"/>
      <c r="L927" s="2"/>
      <c r="M927" s="2"/>
      <c r="N927" s="2"/>
      <c r="O927" s="7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7"/>
      <c r="D928" s="7"/>
      <c r="E928" s="2"/>
      <c r="F928" s="24"/>
      <c r="G928" s="24"/>
      <c r="H928" s="2"/>
      <c r="I928" s="2"/>
      <c r="J928" s="2"/>
      <c r="K928" s="2"/>
      <c r="L928" s="2"/>
      <c r="M928" s="2"/>
      <c r="N928" s="2"/>
      <c r="O928" s="7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7"/>
      <c r="D929" s="7"/>
      <c r="E929" s="2"/>
      <c r="F929" s="24"/>
      <c r="G929" s="24"/>
      <c r="H929" s="2"/>
      <c r="I929" s="2"/>
      <c r="J929" s="2"/>
      <c r="K929" s="2"/>
      <c r="L929" s="2"/>
      <c r="M929" s="2"/>
      <c r="N929" s="2"/>
      <c r="O929" s="7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7"/>
      <c r="D930" s="7"/>
      <c r="E930" s="2"/>
      <c r="F930" s="24"/>
      <c r="G930" s="24"/>
      <c r="H930" s="2"/>
      <c r="I930" s="2"/>
      <c r="J930" s="2"/>
      <c r="K930" s="2"/>
      <c r="L930" s="2"/>
      <c r="M930" s="2"/>
      <c r="N930" s="2"/>
      <c r="O930" s="7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7"/>
      <c r="D931" s="7"/>
      <c r="E931" s="2"/>
      <c r="F931" s="24"/>
      <c r="G931" s="24"/>
      <c r="H931" s="2"/>
      <c r="I931" s="2"/>
      <c r="J931" s="2"/>
      <c r="K931" s="2"/>
      <c r="L931" s="2"/>
      <c r="M931" s="2"/>
      <c r="N931" s="2"/>
      <c r="O931" s="7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7"/>
      <c r="D932" s="7"/>
      <c r="E932" s="2"/>
      <c r="F932" s="24"/>
      <c r="G932" s="24"/>
      <c r="H932" s="2"/>
      <c r="I932" s="2"/>
      <c r="J932" s="2"/>
      <c r="K932" s="2"/>
      <c r="L932" s="2"/>
      <c r="M932" s="2"/>
      <c r="N932" s="2"/>
      <c r="O932" s="7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7"/>
      <c r="D933" s="7"/>
      <c r="E933" s="2"/>
      <c r="F933" s="24"/>
      <c r="G933" s="24"/>
      <c r="H933" s="2"/>
      <c r="I933" s="2"/>
      <c r="J933" s="2"/>
      <c r="K933" s="2"/>
      <c r="L933" s="2"/>
      <c r="M933" s="2"/>
      <c r="N933" s="2"/>
      <c r="O933" s="7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7"/>
      <c r="D934" s="7"/>
      <c r="E934" s="2"/>
      <c r="F934" s="24"/>
      <c r="G934" s="24"/>
      <c r="H934" s="2"/>
      <c r="I934" s="2"/>
      <c r="J934" s="2"/>
      <c r="K934" s="2"/>
      <c r="L934" s="2"/>
      <c r="M934" s="2"/>
      <c r="N934" s="2"/>
      <c r="O934" s="7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7"/>
      <c r="D935" s="7"/>
      <c r="E935" s="2"/>
      <c r="F935" s="24"/>
      <c r="G935" s="24"/>
      <c r="H935" s="2"/>
      <c r="I935" s="2"/>
      <c r="J935" s="2"/>
      <c r="K935" s="2"/>
      <c r="L935" s="2"/>
      <c r="M935" s="2"/>
      <c r="N935" s="2"/>
      <c r="O935" s="7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7"/>
      <c r="D936" s="7"/>
      <c r="E936" s="2"/>
      <c r="F936" s="24"/>
      <c r="G936" s="24"/>
      <c r="H936" s="2"/>
      <c r="I936" s="2"/>
      <c r="J936" s="2"/>
      <c r="K936" s="2"/>
      <c r="L936" s="2"/>
      <c r="M936" s="2"/>
      <c r="N936" s="2"/>
      <c r="O936" s="7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7"/>
      <c r="D937" s="7"/>
      <c r="E937" s="2"/>
      <c r="F937" s="24"/>
      <c r="G937" s="24"/>
      <c r="H937" s="2"/>
      <c r="I937" s="2"/>
      <c r="J937" s="2"/>
      <c r="K937" s="2"/>
      <c r="L937" s="2"/>
      <c r="M937" s="2"/>
      <c r="N937" s="2"/>
      <c r="O937" s="7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7"/>
      <c r="D938" s="7"/>
      <c r="E938" s="2"/>
      <c r="F938" s="24"/>
      <c r="G938" s="24"/>
      <c r="H938" s="2"/>
      <c r="I938" s="2"/>
      <c r="J938" s="2"/>
      <c r="K938" s="2"/>
      <c r="L938" s="2"/>
      <c r="M938" s="2"/>
      <c r="N938" s="2"/>
      <c r="O938" s="7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7"/>
      <c r="D939" s="7"/>
      <c r="E939" s="2"/>
      <c r="F939" s="24"/>
      <c r="G939" s="24"/>
      <c r="H939" s="2"/>
      <c r="I939" s="2"/>
      <c r="J939" s="2"/>
      <c r="K939" s="2"/>
      <c r="L939" s="2"/>
      <c r="M939" s="2"/>
      <c r="N939" s="2"/>
      <c r="O939" s="7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7"/>
      <c r="D940" s="7"/>
      <c r="E940" s="2"/>
      <c r="F940" s="24"/>
      <c r="G940" s="24"/>
      <c r="H940" s="2"/>
      <c r="I940" s="2"/>
      <c r="J940" s="2"/>
      <c r="K940" s="2"/>
      <c r="L940" s="2"/>
      <c r="M940" s="2"/>
      <c r="N940" s="2"/>
      <c r="O940" s="7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7"/>
      <c r="D941" s="7"/>
      <c r="E941" s="2"/>
      <c r="F941" s="24"/>
      <c r="G941" s="24"/>
      <c r="H941" s="2"/>
      <c r="I941" s="2"/>
      <c r="J941" s="2"/>
      <c r="K941" s="2"/>
      <c r="L941" s="2"/>
      <c r="M941" s="2"/>
      <c r="N941" s="2"/>
      <c r="O941" s="7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7"/>
      <c r="D942" s="7"/>
      <c r="E942" s="2"/>
      <c r="F942" s="24"/>
      <c r="G942" s="24"/>
      <c r="H942" s="2"/>
      <c r="I942" s="2"/>
      <c r="J942" s="2"/>
      <c r="K942" s="2"/>
      <c r="L942" s="2"/>
      <c r="M942" s="2"/>
      <c r="N942" s="2"/>
      <c r="O942" s="7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7"/>
      <c r="D943" s="7"/>
      <c r="E943" s="2"/>
      <c r="F943" s="24"/>
      <c r="G943" s="24"/>
      <c r="H943" s="2"/>
      <c r="I943" s="2"/>
      <c r="J943" s="2"/>
      <c r="K943" s="2"/>
      <c r="L943" s="2"/>
      <c r="M943" s="2"/>
      <c r="N943" s="2"/>
      <c r="O943" s="7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7"/>
      <c r="D944" s="7"/>
      <c r="E944" s="2"/>
      <c r="F944" s="24"/>
      <c r="G944" s="24"/>
      <c r="H944" s="2"/>
      <c r="I944" s="2"/>
      <c r="J944" s="2"/>
      <c r="K944" s="2"/>
      <c r="L944" s="2"/>
      <c r="M944" s="2"/>
      <c r="N944" s="2"/>
      <c r="O944" s="7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7"/>
      <c r="D945" s="7"/>
      <c r="E945" s="2"/>
      <c r="F945" s="24"/>
      <c r="G945" s="24"/>
      <c r="H945" s="2"/>
      <c r="I945" s="2"/>
      <c r="J945" s="2"/>
      <c r="K945" s="2"/>
      <c r="L945" s="2"/>
      <c r="M945" s="2"/>
      <c r="N945" s="2"/>
      <c r="O945" s="7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7"/>
      <c r="D946" s="7"/>
      <c r="E946" s="2"/>
      <c r="F946" s="24"/>
      <c r="G946" s="24"/>
      <c r="H946" s="2"/>
      <c r="I946" s="2"/>
      <c r="J946" s="2"/>
      <c r="K946" s="2"/>
      <c r="L946" s="2"/>
      <c r="M946" s="2"/>
      <c r="N946" s="2"/>
      <c r="O946" s="7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7"/>
      <c r="D947" s="7"/>
      <c r="E947" s="2"/>
      <c r="F947" s="24"/>
      <c r="G947" s="24"/>
      <c r="H947" s="2"/>
      <c r="I947" s="2"/>
      <c r="J947" s="2"/>
      <c r="K947" s="2"/>
      <c r="L947" s="2"/>
      <c r="M947" s="2"/>
      <c r="N947" s="2"/>
      <c r="O947" s="7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7"/>
      <c r="D948" s="7"/>
      <c r="E948" s="2"/>
      <c r="F948" s="24"/>
      <c r="G948" s="24"/>
      <c r="H948" s="2"/>
      <c r="I948" s="2"/>
      <c r="J948" s="2"/>
      <c r="K948" s="2"/>
      <c r="L948" s="2"/>
      <c r="M948" s="2"/>
      <c r="N948" s="2"/>
      <c r="O948" s="7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7"/>
      <c r="D949" s="7"/>
      <c r="E949" s="2"/>
      <c r="F949" s="24"/>
      <c r="G949" s="24"/>
      <c r="H949" s="2"/>
      <c r="I949" s="2"/>
      <c r="J949" s="2"/>
      <c r="K949" s="2"/>
      <c r="L949" s="2"/>
      <c r="M949" s="2"/>
      <c r="N949" s="2"/>
      <c r="O949" s="7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7"/>
      <c r="D950" s="7"/>
      <c r="E950" s="2"/>
      <c r="F950" s="24"/>
      <c r="G950" s="24"/>
      <c r="H950" s="2"/>
      <c r="I950" s="2"/>
      <c r="J950" s="2"/>
      <c r="K950" s="2"/>
      <c r="L950" s="2"/>
      <c r="M950" s="2"/>
      <c r="N950" s="2"/>
      <c r="O950" s="7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7"/>
      <c r="D951" s="7"/>
      <c r="E951" s="2"/>
      <c r="F951" s="24"/>
      <c r="G951" s="24"/>
      <c r="H951" s="2"/>
      <c r="I951" s="2"/>
      <c r="J951" s="2"/>
      <c r="K951" s="2"/>
      <c r="L951" s="2"/>
      <c r="M951" s="2"/>
      <c r="N951" s="2"/>
      <c r="O951" s="7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7"/>
      <c r="D952" s="7"/>
      <c r="E952" s="2"/>
      <c r="F952" s="24"/>
      <c r="G952" s="24"/>
      <c r="H952" s="2"/>
      <c r="I952" s="2"/>
      <c r="J952" s="2"/>
      <c r="K952" s="2"/>
      <c r="L952" s="2"/>
      <c r="M952" s="2"/>
      <c r="N952" s="2"/>
      <c r="O952" s="7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7"/>
      <c r="D953" s="7"/>
      <c r="E953" s="2"/>
      <c r="F953" s="24"/>
      <c r="G953" s="24"/>
      <c r="H953" s="2"/>
      <c r="I953" s="2"/>
      <c r="J953" s="2"/>
      <c r="K953" s="2"/>
      <c r="L953" s="2"/>
      <c r="M953" s="2"/>
      <c r="N953" s="2"/>
      <c r="O953" s="7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7"/>
      <c r="D954" s="7"/>
      <c r="E954" s="2"/>
      <c r="F954" s="24"/>
      <c r="G954" s="24"/>
      <c r="H954" s="2"/>
      <c r="I954" s="2"/>
      <c r="J954" s="2"/>
      <c r="K954" s="2"/>
      <c r="L954" s="2"/>
      <c r="M954" s="2"/>
      <c r="N954" s="2"/>
      <c r="O954" s="7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7"/>
      <c r="D955" s="7"/>
      <c r="E955" s="2"/>
      <c r="F955" s="24"/>
      <c r="G955" s="24"/>
      <c r="H955" s="2"/>
      <c r="I955" s="2"/>
      <c r="J955" s="2"/>
      <c r="K955" s="2"/>
      <c r="L955" s="2"/>
      <c r="M955" s="2"/>
      <c r="N955" s="2"/>
      <c r="O955" s="7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7"/>
      <c r="D956" s="7"/>
      <c r="E956" s="2"/>
      <c r="F956" s="24"/>
      <c r="G956" s="24"/>
      <c r="H956" s="2"/>
      <c r="I956" s="2"/>
      <c r="J956" s="2"/>
      <c r="K956" s="2"/>
      <c r="L956" s="2"/>
      <c r="M956" s="2"/>
      <c r="N956" s="2"/>
      <c r="O956" s="7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7"/>
      <c r="D957" s="7"/>
      <c r="E957" s="2"/>
      <c r="F957" s="24"/>
      <c r="G957" s="24"/>
      <c r="H957" s="2"/>
      <c r="I957" s="2"/>
      <c r="J957" s="2"/>
      <c r="K957" s="2"/>
      <c r="L957" s="2"/>
      <c r="M957" s="2"/>
      <c r="N957" s="2"/>
      <c r="O957" s="7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7"/>
      <c r="D958" s="7"/>
      <c r="E958" s="2"/>
      <c r="F958" s="24"/>
      <c r="G958" s="24"/>
      <c r="H958" s="2"/>
      <c r="I958" s="2"/>
      <c r="J958" s="2"/>
      <c r="K958" s="2"/>
      <c r="L958" s="2"/>
      <c r="M958" s="2"/>
      <c r="N958" s="2"/>
      <c r="O958" s="7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7"/>
      <c r="D959" s="7"/>
      <c r="E959" s="2"/>
      <c r="F959" s="24"/>
      <c r="G959" s="24"/>
      <c r="H959" s="2"/>
      <c r="I959" s="2"/>
      <c r="J959" s="2"/>
      <c r="K959" s="2"/>
      <c r="L959" s="2"/>
      <c r="M959" s="2"/>
      <c r="N959" s="2"/>
      <c r="O959" s="7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7"/>
      <c r="D960" s="7"/>
      <c r="E960" s="2"/>
      <c r="F960" s="24"/>
      <c r="G960" s="24"/>
      <c r="H960" s="2"/>
      <c r="I960" s="2"/>
      <c r="J960" s="2"/>
      <c r="K960" s="2"/>
      <c r="L960" s="2"/>
      <c r="M960" s="2"/>
      <c r="N960" s="2"/>
      <c r="O960" s="7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7"/>
      <c r="D961" s="7"/>
      <c r="E961" s="2"/>
      <c r="F961" s="24"/>
      <c r="G961" s="24"/>
      <c r="H961" s="2"/>
      <c r="I961" s="2"/>
      <c r="J961" s="2"/>
      <c r="K961" s="2"/>
      <c r="L961" s="2"/>
      <c r="M961" s="2"/>
      <c r="N961" s="2"/>
      <c r="O961" s="7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7"/>
      <c r="D962" s="7"/>
      <c r="E962" s="2"/>
      <c r="F962" s="24"/>
      <c r="G962" s="24"/>
      <c r="H962" s="2"/>
      <c r="I962" s="2"/>
      <c r="J962" s="2"/>
      <c r="K962" s="2"/>
      <c r="L962" s="2"/>
      <c r="M962" s="2"/>
      <c r="N962" s="2"/>
      <c r="O962" s="7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7"/>
      <c r="D963" s="7"/>
      <c r="E963" s="2"/>
      <c r="F963" s="24"/>
      <c r="G963" s="24"/>
      <c r="H963" s="2"/>
      <c r="I963" s="2"/>
      <c r="J963" s="2"/>
      <c r="K963" s="2"/>
      <c r="L963" s="2"/>
      <c r="M963" s="2"/>
      <c r="N963" s="2"/>
      <c r="O963" s="7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7"/>
      <c r="D964" s="7"/>
      <c r="E964" s="2"/>
      <c r="F964" s="24"/>
      <c r="G964" s="24"/>
      <c r="H964" s="2"/>
      <c r="I964" s="2"/>
      <c r="J964" s="2"/>
      <c r="K964" s="2"/>
      <c r="L964" s="2"/>
      <c r="M964" s="2"/>
      <c r="N964" s="2"/>
      <c r="O964" s="7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7"/>
      <c r="D965" s="7"/>
      <c r="E965" s="2"/>
      <c r="F965" s="24"/>
      <c r="G965" s="24"/>
      <c r="H965" s="2"/>
      <c r="I965" s="2"/>
      <c r="J965" s="2"/>
      <c r="K965" s="2"/>
      <c r="L965" s="2"/>
      <c r="M965" s="2"/>
      <c r="N965" s="2"/>
      <c r="O965" s="7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7"/>
      <c r="D966" s="7"/>
      <c r="E966" s="2"/>
      <c r="F966" s="24"/>
      <c r="G966" s="24"/>
      <c r="H966" s="2"/>
      <c r="I966" s="2"/>
      <c r="J966" s="2"/>
      <c r="K966" s="2"/>
      <c r="L966" s="2"/>
      <c r="M966" s="2"/>
      <c r="N966" s="2"/>
      <c r="O966" s="7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7"/>
      <c r="D967" s="7"/>
      <c r="E967" s="2"/>
      <c r="F967" s="24"/>
      <c r="G967" s="24"/>
      <c r="H967" s="2"/>
      <c r="I967" s="2"/>
      <c r="J967" s="2"/>
      <c r="K967" s="2"/>
      <c r="L967" s="2"/>
      <c r="M967" s="2"/>
      <c r="N967" s="2"/>
      <c r="O967" s="7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7"/>
      <c r="D968" s="7"/>
      <c r="E968" s="2"/>
      <c r="F968" s="24"/>
      <c r="G968" s="24"/>
      <c r="H968" s="2"/>
      <c r="I968" s="2"/>
      <c r="J968" s="2"/>
      <c r="K968" s="2"/>
      <c r="L968" s="2"/>
      <c r="M968" s="2"/>
      <c r="N968" s="2"/>
      <c r="O968" s="7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7"/>
      <c r="D969" s="7"/>
      <c r="E969" s="2"/>
      <c r="F969" s="24"/>
      <c r="G969" s="24"/>
      <c r="H969" s="2"/>
      <c r="I969" s="2"/>
      <c r="J969" s="2"/>
      <c r="K969" s="2"/>
      <c r="L969" s="2"/>
      <c r="M969" s="2"/>
      <c r="N969" s="2"/>
      <c r="O969" s="7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7"/>
      <c r="D970" s="7"/>
      <c r="E970" s="2"/>
      <c r="F970" s="24"/>
      <c r="G970" s="24"/>
      <c r="H970" s="2"/>
      <c r="I970" s="2"/>
      <c r="J970" s="2"/>
      <c r="K970" s="2"/>
      <c r="L970" s="2"/>
      <c r="M970" s="2"/>
      <c r="N970" s="2"/>
      <c r="O970" s="7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7"/>
      <c r="D971" s="7"/>
      <c r="E971" s="2"/>
      <c r="F971" s="24"/>
      <c r="G971" s="24"/>
      <c r="H971" s="2"/>
      <c r="I971" s="2"/>
      <c r="J971" s="2"/>
      <c r="K971" s="2"/>
      <c r="L971" s="2"/>
      <c r="M971" s="2"/>
      <c r="N971" s="2"/>
      <c r="O971" s="7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7"/>
      <c r="D972" s="7"/>
      <c r="E972" s="2"/>
      <c r="F972" s="24"/>
      <c r="G972" s="24"/>
      <c r="H972" s="2"/>
      <c r="I972" s="2"/>
      <c r="J972" s="2"/>
      <c r="K972" s="2"/>
      <c r="L972" s="2"/>
      <c r="M972" s="2"/>
      <c r="N972" s="2"/>
      <c r="O972" s="7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7"/>
      <c r="D973" s="7"/>
      <c r="E973" s="2"/>
      <c r="F973" s="24"/>
      <c r="G973" s="24"/>
      <c r="H973" s="2"/>
      <c r="I973" s="2"/>
      <c r="J973" s="2"/>
      <c r="K973" s="2"/>
      <c r="L973" s="2"/>
      <c r="M973" s="2"/>
      <c r="N973" s="2"/>
      <c r="O973" s="7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7"/>
      <c r="D974" s="7"/>
      <c r="E974" s="2"/>
      <c r="F974" s="24"/>
      <c r="G974" s="24"/>
      <c r="H974" s="2"/>
      <c r="I974" s="2"/>
      <c r="J974" s="2"/>
      <c r="K974" s="2"/>
      <c r="L974" s="2"/>
      <c r="M974" s="2"/>
      <c r="N974" s="2"/>
      <c r="O974" s="7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7"/>
      <c r="D975" s="7"/>
      <c r="E975" s="2"/>
      <c r="F975" s="24"/>
      <c r="G975" s="24"/>
      <c r="H975" s="2"/>
      <c r="I975" s="2"/>
      <c r="J975" s="2"/>
      <c r="K975" s="2"/>
      <c r="L975" s="2"/>
      <c r="M975" s="2"/>
      <c r="N975" s="2"/>
      <c r="O975" s="7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7"/>
      <c r="D976" s="7"/>
      <c r="E976" s="2"/>
      <c r="F976" s="24"/>
      <c r="G976" s="24"/>
      <c r="H976" s="2"/>
      <c r="I976" s="2"/>
      <c r="J976" s="2"/>
      <c r="K976" s="2"/>
      <c r="L976" s="2"/>
      <c r="M976" s="2"/>
      <c r="N976" s="2"/>
      <c r="O976" s="7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7"/>
      <c r="D977" s="7"/>
      <c r="E977" s="2"/>
      <c r="F977" s="24"/>
      <c r="G977" s="24"/>
      <c r="H977" s="2"/>
      <c r="I977" s="2"/>
      <c r="J977" s="2"/>
      <c r="K977" s="2"/>
      <c r="L977" s="2"/>
      <c r="M977" s="2"/>
      <c r="N977" s="2"/>
      <c r="O977" s="7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7"/>
      <c r="D978" s="7"/>
      <c r="E978" s="2"/>
      <c r="F978" s="24"/>
      <c r="G978" s="24"/>
      <c r="H978" s="2"/>
      <c r="I978" s="2"/>
      <c r="J978" s="2"/>
      <c r="K978" s="2"/>
      <c r="L978" s="2"/>
      <c r="M978" s="2"/>
      <c r="N978" s="2"/>
      <c r="O978" s="7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7"/>
      <c r="D979" s="7"/>
      <c r="E979" s="2"/>
      <c r="F979" s="24"/>
      <c r="G979" s="24"/>
      <c r="H979" s="2"/>
      <c r="I979" s="2"/>
      <c r="J979" s="2"/>
      <c r="K979" s="2"/>
      <c r="L979" s="2"/>
      <c r="M979" s="2"/>
      <c r="N979" s="2"/>
      <c r="O979" s="7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7"/>
      <c r="D980" s="7"/>
      <c r="E980" s="2"/>
      <c r="F980" s="24"/>
      <c r="G980" s="24"/>
      <c r="H980" s="2"/>
      <c r="I980" s="2"/>
      <c r="J980" s="2"/>
      <c r="K980" s="2"/>
      <c r="L980" s="2"/>
      <c r="M980" s="2"/>
      <c r="N980" s="2"/>
      <c r="O980" s="7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7"/>
      <c r="D981" s="7"/>
      <c r="E981" s="2"/>
      <c r="F981" s="24"/>
      <c r="G981" s="24"/>
      <c r="H981" s="2"/>
      <c r="I981" s="2"/>
      <c r="J981" s="2"/>
      <c r="K981" s="2"/>
      <c r="L981" s="2"/>
      <c r="M981" s="2"/>
      <c r="N981" s="2"/>
      <c r="O981" s="7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7"/>
      <c r="D982" s="7"/>
      <c r="E982" s="2"/>
      <c r="F982" s="24"/>
      <c r="G982" s="24"/>
      <c r="H982" s="2"/>
      <c r="I982" s="2"/>
      <c r="J982" s="2"/>
      <c r="K982" s="2"/>
      <c r="L982" s="2"/>
      <c r="M982" s="2"/>
      <c r="N982" s="2"/>
      <c r="O982" s="7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7"/>
      <c r="D983" s="7"/>
      <c r="E983" s="2"/>
      <c r="F983" s="24"/>
      <c r="G983" s="24"/>
      <c r="H983" s="2"/>
      <c r="I983" s="2"/>
      <c r="J983" s="2"/>
      <c r="K983" s="2"/>
      <c r="L983" s="2"/>
      <c r="M983" s="2"/>
      <c r="N983" s="2"/>
      <c r="O983" s="7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7"/>
      <c r="D984" s="7"/>
      <c r="E984" s="2"/>
      <c r="F984" s="24"/>
      <c r="G984" s="24"/>
      <c r="H984" s="2"/>
      <c r="I984" s="2"/>
      <c r="J984" s="2"/>
      <c r="K984" s="2"/>
      <c r="L984" s="2"/>
      <c r="M984" s="2"/>
      <c r="N984" s="2"/>
      <c r="O984" s="7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7"/>
      <c r="D985" s="7"/>
      <c r="E985" s="2"/>
      <c r="F985" s="24"/>
      <c r="G985" s="24"/>
      <c r="H985" s="2"/>
      <c r="I985" s="2"/>
      <c r="J985" s="2"/>
      <c r="K985" s="2"/>
      <c r="L985" s="2"/>
      <c r="M985" s="2"/>
      <c r="N985" s="2"/>
      <c r="O985" s="7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7"/>
      <c r="D986" s="7"/>
      <c r="E986" s="2"/>
      <c r="F986" s="24"/>
      <c r="G986" s="24"/>
      <c r="H986" s="2"/>
      <c r="I986" s="2"/>
      <c r="J986" s="2"/>
      <c r="K986" s="2"/>
      <c r="L986" s="2"/>
      <c r="M986" s="2"/>
      <c r="N986" s="2"/>
      <c r="O986" s="7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7"/>
      <c r="D987" s="7"/>
      <c r="E987" s="2"/>
      <c r="F987" s="24"/>
      <c r="G987" s="24"/>
      <c r="H987" s="2"/>
      <c r="I987" s="2"/>
      <c r="J987" s="2"/>
      <c r="K987" s="2"/>
      <c r="L987" s="2"/>
      <c r="M987" s="2"/>
      <c r="N987" s="2"/>
      <c r="O987" s="7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7"/>
      <c r="D988" s="7"/>
      <c r="E988" s="2"/>
      <c r="F988" s="24"/>
      <c r="G988" s="24"/>
      <c r="H988" s="2"/>
      <c r="I988" s="2"/>
      <c r="J988" s="2"/>
      <c r="K988" s="2"/>
      <c r="L988" s="2"/>
      <c r="M988" s="2"/>
      <c r="N988" s="2"/>
      <c r="O988" s="7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7"/>
      <c r="D989" s="7"/>
      <c r="E989" s="2"/>
      <c r="F989" s="24"/>
      <c r="G989" s="24"/>
      <c r="H989" s="2"/>
      <c r="I989" s="2"/>
      <c r="J989" s="2"/>
      <c r="K989" s="2"/>
      <c r="L989" s="2"/>
      <c r="M989" s="2"/>
      <c r="N989" s="2"/>
      <c r="O989" s="7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7"/>
      <c r="D990" s="7"/>
      <c r="E990" s="2"/>
      <c r="F990" s="24"/>
      <c r="G990" s="24"/>
      <c r="H990" s="2"/>
      <c r="I990" s="2"/>
      <c r="J990" s="2"/>
      <c r="K990" s="2"/>
      <c r="L990" s="2"/>
      <c r="M990" s="2"/>
      <c r="N990" s="2"/>
      <c r="O990" s="7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7"/>
      <c r="D991" s="7"/>
      <c r="E991" s="2"/>
      <c r="F991" s="24"/>
      <c r="G991" s="24"/>
      <c r="H991" s="2"/>
      <c r="I991" s="2"/>
      <c r="J991" s="2"/>
      <c r="K991" s="2"/>
      <c r="L991" s="2"/>
      <c r="M991" s="2"/>
      <c r="N991" s="2"/>
      <c r="O991" s="7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7"/>
      <c r="D992" s="7"/>
      <c r="E992" s="2"/>
      <c r="F992" s="24"/>
      <c r="G992" s="24"/>
      <c r="H992" s="2"/>
      <c r="I992" s="2"/>
      <c r="J992" s="2"/>
      <c r="K992" s="2"/>
      <c r="L992" s="2"/>
      <c r="M992" s="2"/>
      <c r="N992" s="2"/>
      <c r="O992" s="7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7"/>
      <c r="D993" s="7"/>
      <c r="E993" s="2"/>
      <c r="F993" s="24"/>
      <c r="G993" s="24"/>
      <c r="H993" s="2"/>
      <c r="I993" s="2"/>
      <c r="J993" s="2"/>
      <c r="K993" s="2"/>
      <c r="L993" s="2"/>
      <c r="M993" s="2"/>
      <c r="N993" s="2"/>
      <c r="O993" s="7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7"/>
      <c r="D994" s="7"/>
      <c r="E994" s="2"/>
      <c r="F994" s="24"/>
      <c r="G994" s="24"/>
      <c r="H994" s="2"/>
      <c r="I994" s="2"/>
      <c r="J994" s="2"/>
      <c r="K994" s="2"/>
      <c r="L994" s="2"/>
      <c r="M994" s="2"/>
      <c r="N994" s="2"/>
      <c r="O994" s="7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7"/>
      <c r="D995" s="7"/>
      <c r="E995" s="2"/>
      <c r="F995" s="24"/>
      <c r="G995" s="24"/>
      <c r="H995" s="2"/>
      <c r="I995" s="2"/>
      <c r="J995" s="2"/>
      <c r="K995" s="2"/>
      <c r="L995" s="2"/>
      <c r="M995" s="2"/>
      <c r="N995" s="2"/>
      <c r="O995" s="7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7"/>
      <c r="D996" s="7"/>
      <c r="E996" s="2"/>
      <c r="F996" s="24"/>
      <c r="G996" s="24"/>
      <c r="H996" s="2"/>
      <c r="I996" s="2"/>
      <c r="J996" s="2"/>
      <c r="K996" s="2"/>
      <c r="L996" s="2"/>
      <c r="M996" s="2"/>
      <c r="N996" s="2"/>
      <c r="O996" s="7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7"/>
      <c r="D997" s="7"/>
      <c r="E997" s="2"/>
      <c r="F997" s="24"/>
      <c r="G997" s="24"/>
      <c r="H997" s="2"/>
      <c r="I997" s="2"/>
      <c r="J997" s="2"/>
      <c r="K997" s="2"/>
      <c r="L997" s="2"/>
      <c r="M997" s="2"/>
      <c r="N997" s="2"/>
      <c r="O997" s="7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7"/>
      <c r="D998" s="7"/>
      <c r="E998" s="2"/>
      <c r="F998" s="24"/>
      <c r="G998" s="24"/>
      <c r="H998" s="2"/>
      <c r="I998" s="2"/>
      <c r="J998" s="2"/>
      <c r="K998" s="2"/>
      <c r="L998" s="2"/>
      <c r="M998" s="2"/>
      <c r="N998" s="2"/>
      <c r="O998" s="7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7"/>
      <c r="D999" s="7"/>
      <c r="E999" s="2"/>
      <c r="F999" s="24"/>
      <c r="G999" s="24"/>
      <c r="H999" s="2"/>
      <c r="I999" s="2"/>
      <c r="J999" s="2"/>
      <c r="K999" s="2"/>
      <c r="L999" s="2"/>
      <c r="M999" s="2"/>
      <c r="N999" s="2"/>
      <c r="O999" s="7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7"/>
      <c r="D1000" s="7"/>
      <c r="E1000" s="2"/>
      <c r="F1000" s="24"/>
      <c r="G1000" s="24"/>
      <c r="H1000" s="2"/>
      <c r="I1000" s="2"/>
      <c r="J1000" s="2"/>
      <c r="K1000" s="2"/>
      <c r="L1000" s="2"/>
      <c r="M1000" s="2"/>
      <c r="N1000" s="2"/>
      <c r="O1000" s="7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36328125" defaultRowHeight="15" customHeight="1"/>
  <cols>
    <col min="1" max="1" width="8.26953125" customWidth="1"/>
    <col min="2" max="2" width="3.7265625" customWidth="1"/>
    <col min="3" max="3" width="4.6328125" customWidth="1"/>
    <col min="4" max="4" width="40.6328125" customWidth="1"/>
    <col min="5" max="5" width="18" customWidth="1"/>
    <col min="6" max="6" width="11.26953125" customWidth="1"/>
    <col min="7" max="7" width="22.36328125" customWidth="1"/>
    <col min="8" max="8" width="8.6328125" customWidth="1"/>
    <col min="9" max="9" width="6" customWidth="1"/>
    <col min="10" max="10" width="5.26953125" customWidth="1"/>
    <col min="11" max="11" width="6" customWidth="1"/>
    <col min="12" max="12" width="0.26953125" customWidth="1"/>
    <col min="13" max="13" width="6.36328125" customWidth="1"/>
    <col min="14" max="14" width="5.81640625" customWidth="1"/>
    <col min="15" max="15" width="6.36328125" customWidth="1"/>
    <col min="16" max="16" width="7.6328125" customWidth="1"/>
    <col min="17" max="17" width="14.81640625" hidden="1" customWidth="1"/>
    <col min="18" max="19" width="7.6328125" customWidth="1"/>
    <col min="20" max="25" width="11.36328125" customWidth="1"/>
    <col min="26" max="26" width="10" customWidth="1"/>
  </cols>
  <sheetData>
    <row r="1" spans="1:26" ht="13.5" customHeight="1">
      <c r="A1" s="3"/>
      <c r="B1" s="14"/>
      <c r="C1" s="14"/>
      <c r="D1" s="3"/>
      <c r="E1" s="444" t="s">
        <v>675</v>
      </c>
      <c r="F1" s="404"/>
      <c r="G1" s="26"/>
      <c r="H1" s="14"/>
      <c r="I1" s="14"/>
      <c r="J1" s="14"/>
      <c r="K1" s="14"/>
      <c r="L1" s="110"/>
      <c r="M1" s="1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3"/>
      <c r="B2" s="14"/>
      <c r="C2" s="14"/>
      <c r="D2" s="3"/>
      <c r="E2" s="444" t="s">
        <v>676</v>
      </c>
      <c r="F2" s="404"/>
      <c r="G2" s="26"/>
      <c r="H2" s="14"/>
      <c r="I2" s="14"/>
      <c r="J2" s="14"/>
      <c r="K2" s="14"/>
      <c r="L2" s="110"/>
      <c r="M2" s="14"/>
      <c r="N2" s="1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">
      <c r="A3" s="3"/>
      <c r="B3" s="14"/>
      <c r="C3" s="14"/>
      <c r="D3" s="3"/>
      <c r="E3" s="444" t="s">
        <v>685</v>
      </c>
      <c r="F3" s="404"/>
      <c r="G3" s="26"/>
      <c r="H3" s="26"/>
      <c r="I3" s="26"/>
      <c r="J3" s="26"/>
      <c r="K3" s="26"/>
      <c r="L3" s="111"/>
      <c r="M3" s="26"/>
      <c r="N3" s="2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5">
      <c r="A4" s="3"/>
      <c r="B4" s="14"/>
      <c r="C4" s="14"/>
      <c r="D4" s="3"/>
      <c r="E4" s="26"/>
      <c r="F4" s="26"/>
      <c r="G4" s="26"/>
      <c r="H4" s="14"/>
      <c r="I4" s="14"/>
      <c r="J4" s="14"/>
      <c r="K4" s="14"/>
      <c r="L4" s="110"/>
      <c r="M4" s="14"/>
      <c r="N4" s="1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5">
      <c r="A5" s="33" t="s">
        <v>6</v>
      </c>
      <c r="B5" s="3"/>
      <c r="C5" s="14"/>
      <c r="D5" s="3"/>
      <c r="E5" s="3"/>
      <c r="F5" s="3"/>
      <c r="G5" s="3"/>
      <c r="H5" s="14"/>
      <c r="I5" s="14"/>
      <c r="J5" s="14"/>
      <c r="K5" s="14"/>
      <c r="L5" s="110"/>
      <c r="M5" s="1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5">
      <c r="A6" s="33"/>
      <c r="B6" s="3"/>
      <c r="C6" s="14"/>
      <c r="D6" s="3"/>
      <c r="E6" s="3"/>
      <c r="F6" s="3"/>
      <c r="G6" s="3"/>
      <c r="H6" s="14"/>
      <c r="I6" s="14"/>
      <c r="J6" s="14"/>
      <c r="K6" s="14"/>
      <c r="L6" s="110"/>
      <c r="M6" s="445" t="s">
        <v>686</v>
      </c>
      <c r="N6" s="404"/>
      <c r="O6" s="404"/>
      <c r="P6" s="404"/>
      <c r="Q6" s="404"/>
      <c r="R6" s="404"/>
      <c r="S6" s="3"/>
      <c r="T6" s="3"/>
      <c r="U6" s="3"/>
      <c r="V6" s="3"/>
      <c r="W6" s="3"/>
      <c r="X6" s="3"/>
      <c r="Y6" s="3"/>
      <c r="Z6" s="3"/>
    </row>
    <row r="7" spans="1:26" ht="12.5">
      <c r="A7" s="3" t="s">
        <v>11</v>
      </c>
      <c r="B7" s="14" t="s">
        <v>12</v>
      </c>
      <c r="C7" s="14" t="s">
        <v>13</v>
      </c>
      <c r="D7" s="3" t="s">
        <v>14</v>
      </c>
      <c r="E7" s="3" t="s">
        <v>15</v>
      </c>
      <c r="F7" s="3" t="s">
        <v>687</v>
      </c>
      <c r="G7" s="26" t="s">
        <v>16</v>
      </c>
      <c r="H7" s="14" t="s">
        <v>688</v>
      </c>
      <c r="I7" s="14" t="s">
        <v>681</v>
      </c>
      <c r="J7" s="14" t="s">
        <v>688</v>
      </c>
      <c r="K7" s="14" t="s">
        <v>681</v>
      </c>
      <c r="L7" s="110"/>
      <c r="M7" s="14" t="s">
        <v>19</v>
      </c>
      <c r="N7" s="14" t="s">
        <v>20</v>
      </c>
      <c r="O7" s="14" t="s">
        <v>678</v>
      </c>
      <c r="P7" s="14" t="s">
        <v>21</v>
      </c>
      <c r="Q7" s="14" t="s">
        <v>689</v>
      </c>
      <c r="R7" s="14" t="s">
        <v>22</v>
      </c>
      <c r="S7" s="3" t="s">
        <v>22</v>
      </c>
      <c r="T7" s="3"/>
      <c r="U7" s="3"/>
      <c r="V7" s="3"/>
      <c r="W7" s="3"/>
      <c r="X7" s="3"/>
      <c r="Y7" s="3"/>
      <c r="Z7" s="3"/>
    </row>
    <row r="8" spans="1:26" ht="12.5">
      <c r="A8" s="2" t="e">
        <f t="shared" ref="A8:E8" si="0">+#REF!</f>
        <v>#REF!</v>
      </c>
      <c r="B8" s="2" t="e">
        <f t="shared" si="0"/>
        <v>#REF!</v>
      </c>
      <c r="C8" s="2" t="e">
        <f t="shared" si="0"/>
        <v>#REF!</v>
      </c>
      <c r="D8" s="2" t="e">
        <f t="shared" si="0"/>
        <v>#REF!</v>
      </c>
      <c r="E8" s="2" t="e">
        <f t="shared" si="0"/>
        <v>#REF!</v>
      </c>
      <c r="F8" s="24" t="s">
        <v>690</v>
      </c>
      <c r="G8" s="24" t="e">
        <f t="shared" ref="G8:G40" si="1">IF(D8="","",VLOOKUP(MID(A8,1,7),#REF!,3,FALSE))</f>
        <v>#REF!</v>
      </c>
      <c r="H8" s="7" t="e">
        <f t="shared" ref="H8:K8" si="2">+#REF!</f>
        <v>#REF!</v>
      </c>
      <c r="I8" s="7" t="e">
        <f t="shared" si="2"/>
        <v>#REF!</v>
      </c>
      <c r="J8" s="7" t="e">
        <f t="shared" si="2"/>
        <v>#REF!</v>
      </c>
      <c r="K8" s="7" t="e">
        <f t="shared" si="2"/>
        <v>#REF!</v>
      </c>
      <c r="L8" s="112"/>
      <c r="M8" s="7">
        <f>+VACANTES!H8</f>
        <v>55</v>
      </c>
      <c r="N8" s="7">
        <f>+VACANTES!I8</f>
        <v>0</v>
      </c>
      <c r="O8" s="7">
        <f>+VACANTES!J8</f>
        <v>0</v>
      </c>
      <c r="P8" s="7">
        <f>+VACANTES!K8</f>
        <v>5</v>
      </c>
      <c r="Q8" s="7">
        <f>+VACANTES!L8</f>
        <v>5</v>
      </c>
      <c r="R8" s="7">
        <f>+VACANTES!N8</f>
        <v>65</v>
      </c>
      <c r="S8" s="2">
        <f t="shared" ref="S8:S40" si="3">+R8-Q8</f>
        <v>60</v>
      </c>
      <c r="T8" s="2"/>
      <c r="U8" s="2"/>
      <c r="V8" s="2"/>
      <c r="W8" s="2"/>
      <c r="X8" s="2"/>
      <c r="Y8" s="2"/>
      <c r="Z8" s="2"/>
    </row>
    <row r="9" spans="1:26" ht="12.5">
      <c r="A9" s="2" t="e">
        <f t="shared" ref="A9:E9" si="4">+#REF!</f>
        <v>#REF!</v>
      </c>
      <c r="B9" s="2" t="e">
        <f t="shared" si="4"/>
        <v>#REF!</v>
      </c>
      <c r="C9" s="2" t="e">
        <f t="shared" si="4"/>
        <v>#REF!</v>
      </c>
      <c r="D9" s="2" t="e">
        <f t="shared" si="4"/>
        <v>#REF!</v>
      </c>
      <c r="E9" s="2" t="e">
        <f t="shared" si="4"/>
        <v>#REF!</v>
      </c>
      <c r="F9" s="24" t="s">
        <v>691</v>
      </c>
      <c r="G9" s="24" t="e">
        <f t="shared" si="1"/>
        <v>#REF!</v>
      </c>
      <c r="H9" s="7" t="e">
        <f t="shared" ref="H9:K9" si="5">+#REF!</f>
        <v>#REF!</v>
      </c>
      <c r="I9" s="7" t="e">
        <f t="shared" si="5"/>
        <v>#REF!</v>
      </c>
      <c r="J9" s="7" t="e">
        <f t="shared" si="5"/>
        <v>#REF!</v>
      </c>
      <c r="K9" s="7" t="e">
        <f t="shared" si="5"/>
        <v>#REF!</v>
      </c>
      <c r="L9" s="112"/>
      <c r="M9" s="7">
        <f>+VACANTES!H9</f>
        <v>55</v>
      </c>
      <c r="N9" s="7">
        <f>+VACANTES!I9</f>
        <v>0</v>
      </c>
      <c r="O9" s="7">
        <f>+VACANTES!J9</f>
        <v>0</v>
      </c>
      <c r="P9" s="7">
        <f>+VACANTES!K9</f>
        <v>5</v>
      </c>
      <c r="Q9" s="7">
        <f>+VACANTES!L9</f>
        <v>5</v>
      </c>
      <c r="R9" s="7">
        <f>+VACANTES!N9</f>
        <v>65</v>
      </c>
      <c r="S9" s="2">
        <f t="shared" si="3"/>
        <v>60</v>
      </c>
      <c r="T9" s="2"/>
      <c r="U9" s="2"/>
      <c r="V9" s="2"/>
      <c r="W9" s="2"/>
      <c r="X9" s="2"/>
      <c r="Y9" s="2"/>
      <c r="Z9" s="2"/>
    </row>
    <row r="10" spans="1:26" ht="12.5">
      <c r="A10" s="2" t="e">
        <f t="shared" ref="A10:D10" si="6">+#REF!</f>
        <v>#REF!</v>
      </c>
      <c r="B10" s="2" t="e">
        <f t="shared" si="6"/>
        <v>#REF!</v>
      </c>
      <c r="C10" s="2" t="e">
        <f t="shared" si="6"/>
        <v>#REF!</v>
      </c>
      <c r="D10" s="2" t="e">
        <f t="shared" si="6"/>
        <v>#REF!</v>
      </c>
      <c r="E10" s="2" t="s">
        <v>692</v>
      </c>
      <c r="F10" s="24"/>
      <c r="G10" s="24" t="e">
        <f t="shared" si="1"/>
        <v>#REF!</v>
      </c>
      <c r="H10" s="7"/>
      <c r="I10" s="7"/>
      <c r="J10" s="7" t="e">
        <f t="shared" ref="J10:K10" si="7">+#REF!</f>
        <v>#REF!</v>
      </c>
      <c r="K10" s="7" t="e">
        <f t="shared" si="7"/>
        <v>#REF!</v>
      </c>
      <c r="L10" s="112"/>
      <c r="M10" s="7">
        <f>+VACANTES!H10</f>
        <v>55</v>
      </c>
      <c r="N10" s="7">
        <f>+VACANTES!I10</f>
        <v>0</v>
      </c>
      <c r="O10" s="7">
        <f>+VACANTES!J10</f>
        <v>0</v>
      </c>
      <c r="P10" s="7">
        <f>+VACANTES!K10</f>
        <v>5</v>
      </c>
      <c r="Q10" s="7">
        <f>+VACANTES!L10</f>
        <v>5</v>
      </c>
      <c r="R10" s="7">
        <f>+VACANTES!N10</f>
        <v>65</v>
      </c>
      <c r="S10" s="2">
        <f t="shared" si="3"/>
        <v>60</v>
      </c>
      <c r="T10" s="2"/>
      <c r="U10" s="2"/>
      <c r="V10" s="2"/>
      <c r="W10" s="2"/>
      <c r="X10" s="2"/>
      <c r="Y10" s="2"/>
      <c r="Z10" s="2"/>
    </row>
    <row r="11" spans="1:26" ht="12.5">
      <c r="A11" s="2" t="e">
        <f t="shared" ref="A11:E11" si="8">+#REF!</f>
        <v>#REF!</v>
      </c>
      <c r="B11" s="2" t="e">
        <f t="shared" si="8"/>
        <v>#REF!</v>
      </c>
      <c r="C11" s="2" t="e">
        <f t="shared" si="8"/>
        <v>#REF!</v>
      </c>
      <c r="D11" s="2" t="e">
        <f t="shared" si="8"/>
        <v>#REF!</v>
      </c>
      <c r="E11" s="2" t="e">
        <f t="shared" si="8"/>
        <v>#REF!</v>
      </c>
      <c r="F11" s="24" t="s">
        <v>693</v>
      </c>
      <c r="G11" s="24" t="e">
        <f t="shared" si="1"/>
        <v>#REF!</v>
      </c>
      <c r="H11" s="7" t="e">
        <f t="shared" ref="H11:K11" si="9">+#REF!</f>
        <v>#REF!</v>
      </c>
      <c r="I11" s="7" t="e">
        <f t="shared" si="9"/>
        <v>#REF!</v>
      </c>
      <c r="J11" s="7" t="e">
        <f t="shared" si="9"/>
        <v>#REF!</v>
      </c>
      <c r="K11" s="7" t="e">
        <f t="shared" si="9"/>
        <v>#REF!</v>
      </c>
      <c r="L11" s="112"/>
      <c r="M11" s="7">
        <f>+VACANTES!H11</f>
        <v>55</v>
      </c>
      <c r="N11" s="7">
        <f>+VACANTES!I11</f>
        <v>0</v>
      </c>
      <c r="O11" s="7">
        <f>+VACANTES!J11</f>
        <v>0</v>
      </c>
      <c r="P11" s="7">
        <f>+VACANTES!K11</f>
        <v>5</v>
      </c>
      <c r="Q11" s="7">
        <f>+VACANTES!L11</f>
        <v>5</v>
      </c>
      <c r="R11" s="7">
        <f>+VACANTES!N11</f>
        <v>65</v>
      </c>
      <c r="S11" s="2">
        <f t="shared" si="3"/>
        <v>60</v>
      </c>
      <c r="T11" s="2"/>
      <c r="U11" s="2"/>
      <c r="V11" s="2"/>
      <c r="W11" s="2"/>
      <c r="X11" s="2"/>
      <c r="Y11" s="2"/>
      <c r="Z11" s="2"/>
    </row>
    <row r="12" spans="1:26" ht="12.5">
      <c r="A12" s="2" t="e">
        <f t="shared" ref="A12:D12" si="10">+#REF!</f>
        <v>#REF!</v>
      </c>
      <c r="B12" s="2" t="e">
        <f t="shared" si="10"/>
        <v>#REF!</v>
      </c>
      <c r="C12" s="2" t="e">
        <f t="shared" si="10"/>
        <v>#REF!</v>
      </c>
      <c r="D12" s="2" t="e">
        <f t="shared" si="10"/>
        <v>#REF!</v>
      </c>
      <c r="E12" s="2" t="s">
        <v>692</v>
      </c>
      <c r="F12" s="2"/>
      <c r="G12" s="24" t="e">
        <f t="shared" si="1"/>
        <v>#REF!</v>
      </c>
      <c r="H12" s="7"/>
      <c r="I12" s="7" t="e">
        <f t="shared" ref="I12:K12" si="11">+#REF!</f>
        <v>#REF!</v>
      </c>
      <c r="J12" s="7" t="e">
        <f t="shared" si="11"/>
        <v>#REF!</v>
      </c>
      <c r="K12" s="7" t="e">
        <f t="shared" si="11"/>
        <v>#REF!</v>
      </c>
      <c r="L12" s="112"/>
      <c r="M12" s="7">
        <f>+VACANTES!H12</f>
        <v>40</v>
      </c>
      <c r="N12" s="7">
        <f>+VACANTES!I12</f>
        <v>0</v>
      </c>
      <c r="O12" s="7">
        <f>+VACANTES!J12</f>
        <v>15</v>
      </c>
      <c r="P12" s="7">
        <f>+VACANTES!K12</f>
        <v>5</v>
      </c>
      <c r="Q12" s="7">
        <f>+VACANTES!L12</f>
        <v>3</v>
      </c>
      <c r="R12" s="7">
        <f>+VACANTES!N12</f>
        <v>63</v>
      </c>
      <c r="S12" s="2">
        <f t="shared" si="3"/>
        <v>60</v>
      </c>
      <c r="T12" s="2"/>
      <c r="U12" s="2"/>
      <c r="V12" s="2"/>
      <c r="W12" s="2"/>
      <c r="X12" s="2"/>
      <c r="Y12" s="2"/>
      <c r="Z12" s="2"/>
    </row>
    <row r="13" spans="1:26" ht="12.5">
      <c r="A13" s="2" t="e">
        <f t="shared" ref="A13:E13" si="12">+#REF!</f>
        <v>#REF!</v>
      </c>
      <c r="B13" s="2" t="e">
        <f t="shared" si="12"/>
        <v>#REF!</v>
      </c>
      <c r="C13" s="2" t="e">
        <f t="shared" si="12"/>
        <v>#REF!</v>
      </c>
      <c r="D13" s="2" t="e">
        <f t="shared" si="12"/>
        <v>#REF!</v>
      </c>
      <c r="E13" s="2" t="e">
        <f t="shared" si="12"/>
        <v>#REF!</v>
      </c>
      <c r="F13" s="2"/>
      <c r="G13" s="24" t="e">
        <f t="shared" si="1"/>
        <v>#REF!</v>
      </c>
      <c r="H13" s="7" t="e">
        <f t="shared" ref="H13:K13" si="13">+#REF!</f>
        <v>#REF!</v>
      </c>
      <c r="I13" s="7" t="e">
        <f t="shared" si="13"/>
        <v>#REF!</v>
      </c>
      <c r="J13" s="7" t="e">
        <f t="shared" si="13"/>
        <v>#REF!</v>
      </c>
      <c r="K13" s="7" t="e">
        <f t="shared" si="13"/>
        <v>#REF!</v>
      </c>
      <c r="L13" s="112"/>
      <c r="M13" s="7">
        <f>+VACANTES!H13</f>
        <v>40</v>
      </c>
      <c r="N13" s="7">
        <f>+VACANTES!I13</f>
        <v>0</v>
      </c>
      <c r="O13" s="7">
        <f>+VACANTES!J13</f>
        <v>15</v>
      </c>
      <c r="P13" s="7">
        <f>+VACANTES!K13</f>
        <v>5</v>
      </c>
      <c r="Q13" s="7">
        <f>+VACANTES!L13</f>
        <v>3</v>
      </c>
      <c r="R13" s="7">
        <f>+VACANTES!N13</f>
        <v>63</v>
      </c>
      <c r="S13" s="2">
        <f t="shared" si="3"/>
        <v>60</v>
      </c>
      <c r="T13" s="2"/>
      <c r="U13" s="2"/>
      <c r="V13" s="2"/>
      <c r="W13" s="2"/>
      <c r="X13" s="2"/>
      <c r="Y13" s="2"/>
      <c r="Z13" s="2"/>
    </row>
    <row r="14" spans="1:26" ht="12.5">
      <c r="A14" s="2" t="e">
        <f t="shared" ref="A14:E14" si="14">+#REF!</f>
        <v>#REF!</v>
      </c>
      <c r="B14" s="2" t="e">
        <f t="shared" si="14"/>
        <v>#REF!</v>
      </c>
      <c r="C14" s="2" t="e">
        <f t="shared" si="14"/>
        <v>#REF!</v>
      </c>
      <c r="D14" s="2" t="e">
        <f t="shared" si="14"/>
        <v>#REF!</v>
      </c>
      <c r="E14" s="2" t="e">
        <f t="shared" si="14"/>
        <v>#REF!</v>
      </c>
      <c r="F14" s="24" t="s">
        <v>694</v>
      </c>
      <c r="G14" s="24" t="e">
        <f t="shared" si="1"/>
        <v>#REF!</v>
      </c>
      <c r="H14" s="7" t="e">
        <f t="shared" ref="H14:K14" si="15">+#REF!</f>
        <v>#REF!</v>
      </c>
      <c r="I14" s="7" t="e">
        <f t="shared" si="15"/>
        <v>#REF!</v>
      </c>
      <c r="J14" s="7" t="e">
        <f t="shared" si="15"/>
        <v>#REF!</v>
      </c>
      <c r="K14" s="7" t="e">
        <f t="shared" si="15"/>
        <v>#REF!</v>
      </c>
      <c r="L14" s="112"/>
      <c r="M14" s="7">
        <f>+VACANTES!H14</f>
        <v>51</v>
      </c>
      <c r="N14" s="7">
        <f>+VACANTES!I14</f>
        <v>0</v>
      </c>
      <c r="O14" s="7">
        <f>+VACANTES!J14</f>
        <v>14</v>
      </c>
      <c r="P14" s="7">
        <f>+VACANTES!K14</f>
        <v>5</v>
      </c>
      <c r="Q14" s="7">
        <f>+VACANTES!L14</f>
        <v>0</v>
      </c>
      <c r="R14" s="7">
        <f>+VACANTES!N14</f>
        <v>70</v>
      </c>
      <c r="S14" s="2">
        <f t="shared" si="3"/>
        <v>70</v>
      </c>
      <c r="T14" s="2"/>
      <c r="U14" s="2"/>
      <c r="V14" s="2"/>
      <c r="W14" s="2"/>
      <c r="X14" s="2"/>
      <c r="Y14" s="2"/>
      <c r="Z14" s="2"/>
    </row>
    <row r="15" spans="1:26" ht="12.5">
      <c r="A15" s="2" t="e">
        <f t="shared" ref="A15:E15" si="16">+#REF!</f>
        <v>#REF!</v>
      </c>
      <c r="B15" s="2" t="e">
        <f t="shared" si="16"/>
        <v>#REF!</v>
      </c>
      <c r="C15" s="2" t="e">
        <f t="shared" si="16"/>
        <v>#REF!</v>
      </c>
      <c r="D15" s="2" t="e">
        <f t="shared" si="16"/>
        <v>#REF!</v>
      </c>
      <c r="E15" s="2" t="e">
        <f t="shared" si="16"/>
        <v>#REF!</v>
      </c>
      <c r="F15" s="24" t="s">
        <v>695</v>
      </c>
      <c r="G15" s="24" t="e">
        <f t="shared" si="1"/>
        <v>#REF!</v>
      </c>
      <c r="H15" s="7" t="e">
        <f t="shared" ref="H15:K15" si="17">+#REF!</f>
        <v>#REF!</v>
      </c>
      <c r="I15" s="7" t="e">
        <f t="shared" si="17"/>
        <v>#REF!</v>
      </c>
      <c r="J15" s="7" t="e">
        <f t="shared" si="17"/>
        <v>#REF!</v>
      </c>
      <c r="K15" s="7" t="e">
        <f t="shared" si="17"/>
        <v>#REF!</v>
      </c>
      <c r="L15" s="112"/>
      <c r="M15" s="7">
        <f>+VACANTES!H15</f>
        <v>51</v>
      </c>
      <c r="N15" s="7">
        <f>+VACANTES!I15</f>
        <v>0</v>
      </c>
      <c r="O15" s="7">
        <f>+VACANTES!J15</f>
        <v>14</v>
      </c>
      <c r="P15" s="7">
        <f>+VACANTES!K15</f>
        <v>5</v>
      </c>
      <c r="Q15" s="7">
        <f>+VACANTES!L15</f>
        <v>0</v>
      </c>
      <c r="R15" s="7">
        <f>+VACANTES!N15</f>
        <v>70</v>
      </c>
      <c r="S15" s="2">
        <f t="shared" si="3"/>
        <v>70</v>
      </c>
      <c r="T15" s="2"/>
      <c r="U15" s="2"/>
      <c r="V15" s="2"/>
      <c r="W15" s="2"/>
      <c r="X15" s="2"/>
      <c r="Y15" s="2"/>
      <c r="Z15" s="2"/>
    </row>
    <row r="16" spans="1:26" ht="12.5">
      <c r="A16" s="2" t="e">
        <f t="shared" ref="A16:E16" si="18">+#REF!</f>
        <v>#REF!</v>
      </c>
      <c r="B16" s="2" t="e">
        <f t="shared" si="18"/>
        <v>#REF!</v>
      </c>
      <c r="C16" s="2" t="e">
        <f t="shared" si="18"/>
        <v>#REF!</v>
      </c>
      <c r="D16" s="2" t="e">
        <f t="shared" si="18"/>
        <v>#REF!</v>
      </c>
      <c r="E16" s="2" t="e">
        <f t="shared" si="18"/>
        <v>#REF!</v>
      </c>
      <c r="F16" s="24" t="s">
        <v>696</v>
      </c>
      <c r="G16" s="24" t="e">
        <f t="shared" si="1"/>
        <v>#REF!</v>
      </c>
      <c r="H16" s="7" t="e">
        <f t="shared" ref="H16:K16" si="19">+#REF!</f>
        <v>#REF!</v>
      </c>
      <c r="I16" s="7" t="e">
        <f t="shared" si="19"/>
        <v>#REF!</v>
      </c>
      <c r="J16" s="7" t="e">
        <f t="shared" si="19"/>
        <v>#REF!</v>
      </c>
      <c r="K16" s="7" t="e">
        <f t="shared" si="19"/>
        <v>#REF!</v>
      </c>
      <c r="L16" s="112"/>
      <c r="M16" s="7">
        <f>+VACANTES!H16</f>
        <v>51</v>
      </c>
      <c r="N16" s="7">
        <f>+VACANTES!I16</f>
        <v>0</v>
      </c>
      <c r="O16" s="7">
        <f>+VACANTES!J16</f>
        <v>14</v>
      </c>
      <c r="P16" s="7">
        <f>+VACANTES!K16</f>
        <v>5</v>
      </c>
      <c r="Q16" s="7">
        <f>+VACANTES!L16</f>
        <v>0</v>
      </c>
      <c r="R16" s="7">
        <f>+VACANTES!N16</f>
        <v>70</v>
      </c>
      <c r="S16" s="2">
        <f t="shared" si="3"/>
        <v>70</v>
      </c>
      <c r="T16" s="2"/>
      <c r="U16" s="2"/>
      <c r="V16" s="2"/>
      <c r="W16" s="2"/>
      <c r="X16" s="2"/>
      <c r="Y16" s="2"/>
      <c r="Z16" s="2"/>
    </row>
    <row r="17" spans="1:26" ht="12.5">
      <c r="A17" s="2" t="e">
        <f t="shared" ref="A17:E17" si="20">+#REF!</f>
        <v>#REF!</v>
      </c>
      <c r="B17" s="2" t="e">
        <f t="shared" si="20"/>
        <v>#REF!</v>
      </c>
      <c r="C17" s="2" t="e">
        <f t="shared" si="20"/>
        <v>#REF!</v>
      </c>
      <c r="D17" s="2" t="e">
        <f t="shared" si="20"/>
        <v>#REF!</v>
      </c>
      <c r="E17" s="2" t="e">
        <f t="shared" si="20"/>
        <v>#REF!</v>
      </c>
      <c r="F17" s="24" t="s">
        <v>697</v>
      </c>
      <c r="G17" s="24" t="e">
        <f t="shared" si="1"/>
        <v>#REF!</v>
      </c>
      <c r="H17" s="7" t="e">
        <f t="shared" ref="H17:K17" si="21">+#REF!</f>
        <v>#REF!</v>
      </c>
      <c r="I17" s="7" t="e">
        <f t="shared" si="21"/>
        <v>#REF!</v>
      </c>
      <c r="J17" s="7" t="e">
        <f t="shared" si="21"/>
        <v>#REF!</v>
      </c>
      <c r="K17" s="7" t="e">
        <f t="shared" si="21"/>
        <v>#REF!</v>
      </c>
      <c r="L17" s="112"/>
      <c r="M17" s="7">
        <f>+VACANTES!H17</f>
        <v>51</v>
      </c>
      <c r="N17" s="7">
        <f>+VACANTES!I17</f>
        <v>0</v>
      </c>
      <c r="O17" s="7">
        <f>+VACANTES!J17</f>
        <v>14</v>
      </c>
      <c r="P17" s="7">
        <f>+VACANTES!K17</f>
        <v>5</v>
      </c>
      <c r="Q17" s="7">
        <f>+VACANTES!L17</f>
        <v>0</v>
      </c>
      <c r="R17" s="7">
        <f>+VACANTES!N17</f>
        <v>70</v>
      </c>
      <c r="S17" s="2">
        <f t="shared" si="3"/>
        <v>70</v>
      </c>
      <c r="T17" s="2"/>
      <c r="U17" s="2"/>
      <c r="V17" s="2"/>
      <c r="W17" s="2"/>
      <c r="X17" s="2"/>
      <c r="Y17" s="2"/>
      <c r="Z17" s="2"/>
    </row>
    <row r="18" spans="1:26" ht="12.5">
      <c r="A18" s="2" t="e">
        <f t="shared" ref="A18:E18" si="22">+#REF!</f>
        <v>#REF!</v>
      </c>
      <c r="B18" s="2" t="e">
        <f t="shared" si="22"/>
        <v>#REF!</v>
      </c>
      <c r="C18" s="2" t="e">
        <f t="shared" si="22"/>
        <v>#REF!</v>
      </c>
      <c r="D18" s="2" t="e">
        <f t="shared" si="22"/>
        <v>#REF!</v>
      </c>
      <c r="E18" s="2" t="e">
        <f t="shared" si="22"/>
        <v>#REF!</v>
      </c>
      <c r="F18" s="24" t="s">
        <v>698</v>
      </c>
      <c r="G18" s="24" t="e">
        <f t="shared" si="1"/>
        <v>#REF!</v>
      </c>
      <c r="H18" s="7" t="e">
        <f t="shared" ref="H18:K18" si="23">+#REF!</f>
        <v>#REF!</v>
      </c>
      <c r="I18" s="7" t="e">
        <f t="shared" si="23"/>
        <v>#REF!</v>
      </c>
      <c r="J18" s="7" t="e">
        <f t="shared" si="23"/>
        <v>#REF!</v>
      </c>
      <c r="K18" s="7" t="e">
        <f t="shared" si="23"/>
        <v>#REF!</v>
      </c>
      <c r="L18" s="112"/>
      <c r="M18" s="7">
        <f>+VACANTES!H18</f>
        <v>45</v>
      </c>
      <c r="N18" s="7">
        <f>+VACANTES!I18</f>
        <v>0</v>
      </c>
      <c r="O18" s="7">
        <f>+VACANTES!J18</f>
        <v>0</v>
      </c>
      <c r="P18" s="7">
        <f>+VACANTES!K18</f>
        <v>5</v>
      </c>
      <c r="Q18" s="7">
        <f>+VACANTES!L18</f>
        <v>5</v>
      </c>
      <c r="R18" s="7">
        <f>+VACANTES!N18</f>
        <v>55</v>
      </c>
      <c r="S18" s="2">
        <f t="shared" si="3"/>
        <v>50</v>
      </c>
      <c r="T18" s="2"/>
      <c r="U18" s="2"/>
      <c r="V18" s="2"/>
      <c r="W18" s="2"/>
      <c r="X18" s="2"/>
      <c r="Y18" s="2"/>
      <c r="Z18" s="2"/>
    </row>
    <row r="19" spans="1:26" ht="12.5">
      <c r="A19" s="2" t="e">
        <f t="shared" ref="A19:E19" si="24">+#REF!</f>
        <v>#REF!</v>
      </c>
      <c r="B19" s="2" t="e">
        <f t="shared" si="24"/>
        <v>#REF!</v>
      </c>
      <c r="C19" s="2" t="e">
        <f t="shared" si="24"/>
        <v>#REF!</v>
      </c>
      <c r="D19" s="2" t="e">
        <f t="shared" si="24"/>
        <v>#REF!</v>
      </c>
      <c r="E19" s="2" t="e">
        <f t="shared" si="24"/>
        <v>#REF!</v>
      </c>
      <c r="F19" s="24" t="s">
        <v>699</v>
      </c>
      <c r="G19" s="24" t="e">
        <f t="shared" si="1"/>
        <v>#REF!</v>
      </c>
      <c r="H19" s="7" t="e">
        <f t="shared" ref="H19:K19" si="25">+#REF!</f>
        <v>#REF!</v>
      </c>
      <c r="I19" s="7" t="e">
        <f t="shared" si="25"/>
        <v>#REF!</v>
      </c>
      <c r="J19" s="7" t="e">
        <f t="shared" si="25"/>
        <v>#REF!</v>
      </c>
      <c r="K19" s="7" t="e">
        <f t="shared" si="25"/>
        <v>#REF!</v>
      </c>
      <c r="L19" s="112"/>
      <c r="M19" s="7">
        <f>+VACANTES!H19</f>
        <v>45</v>
      </c>
      <c r="N19" s="7">
        <f>+VACANTES!I19</f>
        <v>0</v>
      </c>
      <c r="O19" s="7">
        <f>+VACANTES!J19</f>
        <v>0</v>
      </c>
      <c r="P19" s="7">
        <f>+VACANTES!K19</f>
        <v>5</v>
      </c>
      <c r="Q19" s="7">
        <f>+VACANTES!L19</f>
        <v>5</v>
      </c>
      <c r="R19" s="7">
        <f>+VACANTES!N19</f>
        <v>55</v>
      </c>
      <c r="S19" s="2">
        <f t="shared" si="3"/>
        <v>50</v>
      </c>
      <c r="T19" s="2"/>
      <c r="U19" s="2"/>
      <c r="V19" s="2"/>
      <c r="W19" s="2"/>
      <c r="X19" s="2"/>
      <c r="Y19" s="2"/>
      <c r="Z19" s="2"/>
    </row>
    <row r="20" spans="1:26" ht="12.5">
      <c r="A20" s="2" t="e">
        <f t="shared" ref="A20:E20" si="26">+#REF!</f>
        <v>#REF!</v>
      </c>
      <c r="B20" s="2" t="e">
        <f t="shared" si="26"/>
        <v>#REF!</v>
      </c>
      <c r="C20" s="2" t="e">
        <f t="shared" si="26"/>
        <v>#REF!</v>
      </c>
      <c r="D20" s="2" t="e">
        <f t="shared" si="26"/>
        <v>#REF!</v>
      </c>
      <c r="E20" s="2" t="e">
        <f t="shared" si="26"/>
        <v>#REF!</v>
      </c>
      <c r="F20" s="24" t="s">
        <v>700</v>
      </c>
      <c r="G20" s="24" t="e">
        <f t="shared" si="1"/>
        <v>#REF!</v>
      </c>
      <c r="H20" s="7" t="e">
        <f t="shared" ref="H20:K20" si="27">+#REF!</f>
        <v>#REF!</v>
      </c>
      <c r="I20" s="7" t="e">
        <f t="shared" si="27"/>
        <v>#REF!</v>
      </c>
      <c r="J20" s="7" t="e">
        <f t="shared" si="27"/>
        <v>#REF!</v>
      </c>
      <c r="K20" s="7" t="e">
        <f t="shared" si="27"/>
        <v>#REF!</v>
      </c>
      <c r="L20" s="112"/>
      <c r="M20" s="7">
        <f>+VACANTES!H20</f>
        <v>50</v>
      </c>
      <c r="N20" s="7">
        <f>+VACANTES!I20</f>
        <v>0</v>
      </c>
      <c r="O20" s="7">
        <f>+VACANTES!J20</f>
        <v>0</v>
      </c>
      <c r="P20" s="7">
        <f>+VACANTES!K20</f>
        <v>5</v>
      </c>
      <c r="Q20" s="7">
        <f>+VACANTES!L20</f>
        <v>0</v>
      </c>
      <c r="R20" s="7">
        <f>+VACANTES!N20</f>
        <v>55</v>
      </c>
      <c r="S20" s="2">
        <f t="shared" si="3"/>
        <v>55</v>
      </c>
      <c r="T20" s="2"/>
      <c r="U20" s="2"/>
      <c r="V20" s="2"/>
      <c r="W20" s="2"/>
      <c r="X20" s="2"/>
      <c r="Y20" s="2"/>
      <c r="Z20" s="2"/>
    </row>
    <row r="21" spans="1:26" ht="15.75" customHeight="1">
      <c r="A21" s="2" t="e">
        <f t="shared" ref="A21:D21" si="28">+#REF!</f>
        <v>#REF!</v>
      </c>
      <c r="B21" s="2" t="e">
        <f t="shared" si="28"/>
        <v>#REF!</v>
      </c>
      <c r="C21" s="2" t="e">
        <f t="shared" si="28"/>
        <v>#REF!</v>
      </c>
      <c r="D21" s="2" t="e">
        <f t="shared" si="28"/>
        <v>#REF!</v>
      </c>
      <c r="E21" s="2" t="s">
        <v>692</v>
      </c>
      <c r="F21" s="2"/>
      <c r="G21" s="24" t="e">
        <f t="shared" si="1"/>
        <v>#REF!</v>
      </c>
      <c r="H21" s="7" t="e">
        <f t="shared" ref="H21:K21" si="29">+#REF!</f>
        <v>#REF!</v>
      </c>
      <c r="I21" s="7" t="e">
        <f t="shared" si="29"/>
        <v>#REF!</v>
      </c>
      <c r="J21" s="7" t="e">
        <f t="shared" si="29"/>
        <v>#REF!</v>
      </c>
      <c r="K21" s="7" t="e">
        <f t="shared" si="29"/>
        <v>#REF!</v>
      </c>
      <c r="L21" s="112"/>
      <c r="M21" s="7">
        <f>+VACANTES!H21</f>
        <v>50</v>
      </c>
      <c r="N21" s="7">
        <f>+VACANTES!I21</f>
        <v>0</v>
      </c>
      <c r="O21" s="7">
        <f>+VACANTES!J21</f>
        <v>0</v>
      </c>
      <c r="P21" s="7">
        <f>+VACANTES!K21</f>
        <v>5</v>
      </c>
      <c r="Q21" s="7">
        <f>+VACANTES!L21</f>
        <v>0</v>
      </c>
      <c r="R21" s="7">
        <f>+VACANTES!N21</f>
        <v>55</v>
      </c>
      <c r="S21" s="2">
        <f t="shared" si="3"/>
        <v>55</v>
      </c>
      <c r="T21" s="2"/>
      <c r="U21" s="2"/>
      <c r="V21" s="2"/>
      <c r="W21" s="2"/>
      <c r="X21" s="2"/>
      <c r="Y21" s="2"/>
      <c r="Z21" s="2"/>
    </row>
    <row r="22" spans="1:26" ht="15.75" customHeight="1">
      <c r="A22" s="2" t="e">
        <f t="shared" ref="A22:E22" si="30">+#REF!</f>
        <v>#REF!</v>
      </c>
      <c r="B22" s="2" t="e">
        <f t="shared" si="30"/>
        <v>#REF!</v>
      </c>
      <c r="C22" s="2" t="e">
        <f t="shared" si="30"/>
        <v>#REF!</v>
      </c>
      <c r="D22" s="2" t="e">
        <f t="shared" si="30"/>
        <v>#REF!</v>
      </c>
      <c r="E22" s="2" t="e">
        <f t="shared" si="30"/>
        <v>#REF!</v>
      </c>
      <c r="F22" s="24" t="s">
        <v>701</v>
      </c>
      <c r="G22" s="24" t="e">
        <f t="shared" si="1"/>
        <v>#REF!</v>
      </c>
      <c r="H22" s="7" t="e">
        <f t="shared" ref="H22:K22" si="31">+#REF!</f>
        <v>#REF!</v>
      </c>
      <c r="I22" s="7" t="e">
        <f t="shared" si="31"/>
        <v>#REF!</v>
      </c>
      <c r="J22" s="7" t="e">
        <f t="shared" si="31"/>
        <v>#REF!</v>
      </c>
      <c r="K22" s="7" t="e">
        <f t="shared" si="31"/>
        <v>#REF!</v>
      </c>
      <c r="L22" s="112"/>
      <c r="M22" s="7">
        <f>+VACANTES!H22</f>
        <v>65</v>
      </c>
      <c r="N22" s="7">
        <f>+VACANTES!I22</f>
        <v>0</v>
      </c>
      <c r="O22" s="7">
        <f>+VACANTES!J22</f>
        <v>0</v>
      </c>
      <c r="P22" s="7">
        <f>+VACANTES!K22</f>
        <v>5</v>
      </c>
      <c r="Q22" s="7">
        <f>+VACANTES!L22</f>
        <v>0</v>
      </c>
      <c r="R22" s="7">
        <f>+VACANTES!N22</f>
        <v>70</v>
      </c>
      <c r="S22" s="2">
        <f t="shared" si="3"/>
        <v>70</v>
      </c>
      <c r="T22" s="2"/>
      <c r="U22" s="2"/>
      <c r="V22" s="2"/>
      <c r="W22" s="2"/>
      <c r="X22" s="2"/>
      <c r="Y22" s="2"/>
      <c r="Z22" s="2"/>
    </row>
    <row r="23" spans="1:26" ht="15.75" customHeight="1">
      <c r="A23" s="2" t="e">
        <f t="shared" ref="A23:E23" si="32">+#REF!</f>
        <v>#REF!</v>
      </c>
      <c r="B23" s="2" t="e">
        <f t="shared" si="32"/>
        <v>#REF!</v>
      </c>
      <c r="C23" s="2" t="e">
        <f t="shared" si="32"/>
        <v>#REF!</v>
      </c>
      <c r="D23" s="2" t="e">
        <f t="shared" si="32"/>
        <v>#REF!</v>
      </c>
      <c r="E23" s="2" t="e">
        <f t="shared" si="32"/>
        <v>#REF!</v>
      </c>
      <c r="F23" s="24" t="s">
        <v>702</v>
      </c>
      <c r="G23" s="24" t="e">
        <f t="shared" si="1"/>
        <v>#REF!</v>
      </c>
      <c r="H23" s="7" t="e">
        <f t="shared" ref="H23:K23" si="33">+#REF!</f>
        <v>#REF!</v>
      </c>
      <c r="I23" s="7" t="e">
        <f t="shared" si="33"/>
        <v>#REF!</v>
      </c>
      <c r="J23" s="7" t="e">
        <f t="shared" si="33"/>
        <v>#REF!</v>
      </c>
      <c r="K23" s="7" t="e">
        <f t="shared" si="33"/>
        <v>#REF!</v>
      </c>
      <c r="L23" s="112"/>
      <c r="M23" s="7">
        <f>+VACANTES!H23</f>
        <v>55</v>
      </c>
      <c r="N23" s="7">
        <f>+VACANTES!I23</f>
        <v>0</v>
      </c>
      <c r="O23" s="7">
        <f>+VACANTES!J23</f>
        <v>0</v>
      </c>
      <c r="P23" s="7">
        <f>+VACANTES!K23</f>
        <v>5</v>
      </c>
      <c r="Q23" s="7">
        <f>+VACANTES!L23</f>
        <v>0</v>
      </c>
      <c r="R23" s="7">
        <f>+VACANTES!N23</f>
        <v>60</v>
      </c>
      <c r="S23" s="2">
        <f t="shared" si="3"/>
        <v>60</v>
      </c>
      <c r="T23" s="2"/>
      <c r="U23" s="2"/>
      <c r="V23" s="2"/>
      <c r="W23" s="2"/>
      <c r="X23" s="2"/>
      <c r="Y23" s="2"/>
      <c r="Z23" s="2"/>
    </row>
    <row r="24" spans="1:26" ht="15.75" customHeight="1">
      <c r="A24" s="2" t="e">
        <f t="shared" ref="A24:E24" si="34">+#REF!</f>
        <v>#REF!</v>
      </c>
      <c r="B24" s="2" t="e">
        <f t="shared" si="34"/>
        <v>#REF!</v>
      </c>
      <c r="C24" s="2" t="e">
        <f t="shared" si="34"/>
        <v>#REF!</v>
      </c>
      <c r="D24" s="2" t="e">
        <f t="shared" si="34"/>
        <v>#REF!</v>
      </c>
      <c r="E24" s="2" t="e">
        <f t="shared" si="34"/>
        <v>#REF!</v>
      </c>
      <c r="F24" s="24" t="s">
        <v>703</v>
      </c>
      <c r="G24" s="24" t="e">
        <f t="shared" si="1"/>
        <v>#REF!</v>
      </c>
      <c r="H24" s="7" t="e">
        <f t="shared" ref="H24:K24" si="35">+#REF!</f>
        <v>#REF!</v>
      </c>
      <c r="I24" s="7" t="e">
        <f t="shared" si="35"/>
        <v>#REF!</v>
      </c>
      <c r="J24" s="7" t="e">
        <f t="shared" si="35"/>
        <v>#REF!</v>
      </c>
      <c r="K24" s="7" t="e">
        <f t="shared" si="35"/>
        <v>#REF!</v>
      </c>
      <c r="L24" s="112"/>
      <c r="M24" s="7">
        <f>+VACANTES!H24</f>
        <v>65</v>
      </c>
      <c r="N24" s="7">
        <f>+VACANTES!I24</f>
        <v>0</v>
      </c>
      <c r="O24" s="7">
        <f>+VACANTES!J24</f>
        <v>0</v>
      </c>
      <c r="P24" s="7">
        <f>+VACANTES!K24</f>
        <v>5</v>
      </c>
      <c r="Q24" s="7">
        <f>+VACANTES!L24</f>
        <v>5</v>
      </c>
      <c r="R24" s="7">
        <f>+VACANTES!N24</f>
        <v>75</v>
      </c>
      <c r="S24" s="2">
        <f t="shared" si="3"/>
        <v>70</v>
      </c>
      <c r="T24" s="2"/>
      <c r="U24" s="2"/>
      <c r="V24" s="2"/>
      <c r="W24" s="2"/>
      <c r="X24" s="2"/>
      <c r="Y24" s="2"/>
      <c r="Z24" s="2"/>
    </row>
    <row r="25" spans="1:26" ht="15.75" customHeight="1">
      <c r="A25" s="2" t="e">
        <f t="shared" ref="A25:E25" si="36">+#REF!</f>
        <v>#REF!</v>
      </c>
      <c r="B25" s="2" t="e">
        <f t="shared" si="36"/>
        <v>#REF!</v>
      </c>
      <c r="C25" s="2" t="e">
        <f t="shared" si="36"/>
        <v>#REF!</v>
      </c>
      <c r="D25" s="2" t="e">
        <f t="shared" si="36"/>
        <v>#REF!</v>
      </c>
      <c r="E25" s="2" t="e">
        <f t="shared" si="36"/>
        <v>#REF!</v>
      </c>
      <c r="F25" s="24" t="s">
        <v>704</v>
      </c>
      <c r="G25" s="24" t="e">
        <f t="shared" si="1"/>
        <v>#REF!</v>
      </c>
      <c r="H25" s="7" t="e">
        <f t="shared" ref="H25:K25" si="37">+#REF!</f>
        <v>#REF!</v>
      </c>
      <c r="I25" s="7" t="e">
        <f t="shared" si="37"/>
        <v>#REF!</v>
      </c>
      <c r="J25" s="7" t="e">
        <f t="shared" si="37"/>
        <v>#REF!</v>
      </c>
      <c r="K25" s="7" t="e">
        <f t="shared" si="37"/>
        <v>#REF!</v>
      </c>
      <c r="L25" s="112"/>
      <c r="M25" s="7">
        <f>+VACANTES!H25</f>
        <v>65</v>
      </c>
      <c r="N25" s="7">
        <f>+VACANTES!I25</f>
        <v>0</v>
      </c>
      <c r="O25" s="7">
        <f>+VACANTES!J25</f>
        <v>0</v>
      </c>
      <c r="P25" s="7">
        <f>+VACANTES!K25</f>
        <v>5</v>
      </c>
      <c r="Q25" s="7">
        <f>+VACANTES!L25</f>
        <v>5</v>
      </c>
      <c r="R25" s="7">
        <f>+VACANTES!N25</f>
        <v>75</v>
      </c>
      <c r="S25" s="2">
        <f t="shared" si="3"/>
        <v>70</v>
      </c>
      <c r="T25" s="2"/>
      <c r="U25" s="2"/>
      <c r="V25" s="2"/>
      <c r="W25" s="2"/>
      <c r="X25" s="2"/>
      <c r="Y25" s="2"/>
      <c r="Z25" s="2"/>
    </row>
    <row r="26" spans="1:26" ht="15.75" customHeight="1">
      <c r="A26" s="2" t="e">
        <f t="shared" ref="A26:E26" si="38">+#REF!</f>
        <v>#REF!</v>
      </c>
      <c r="B26" s="2" t="e">
        <f t="shared" si="38"/>
        <v>#REF!</v>
      </c>
      <c r="C26" s="2" t="e">
        <f t="shared" si="38"/>
        <v>#REF!</v>
      </c>
      <c r="D26" s="2" t="e">
        <f t="shared" si="38"/>
        <v>#REF!</v>
      </c>
      <c r="E26" s="2" t="e">
        <f t="shared" si="38"/>
        <v>#REF!</v>
      </c>
      <c r="F26" s="24" t="s">
        <v>705</v>
      </c>
      <c r="G26" s="24" t="e">
        <f t="shared" si="1"/>
        <v>#REF!</v>
      </c>
      <c r="H26" s="7" t="e">
        <f t="shared" ref="H26:K26" si="39">+#REF!</f>
        <v>#REF!</v>
      </c>
      <c r="I26" s="7" t="e">
        <f t="shared" si="39"/>
        <v>#REF!</v>
      </c>
      <c r="J26" s="7" t="e">
        <f t="shared" si="39"/>
        <v>#REF!</v>
      </c>
      <c r="K26" s="7" t="e">
        <f t="shared" si="39"/>
        <v>#REF!</v>
      </c>
      <c r="L26" s="112"/>
      <c r="M26" s="7">
        <f>+VACANTES!H26</f>
        <v>55</v>
      </c>
      <c r="N26" s="7">
        <f>+VACANTES!I26</f>
        <v>0</v>
      </c>
      <c r="O26" s="7">
        <f>+VACANTES!J26</f>
        <v>0</v>
      </c>
      <c r="P26" s="7">
        <f>+VACANTES!K26</f>
        <v>5</v>
      </c>
      <c r="Q26" s="7">
        <f>+VACANTES!L26</f>
        <v>0</v>
      </c>
      <c r="R26" s="7">
        <f>+VACANTES!N26</f>
        <v>60</v>
      </c>
      <c r="S26" s="2">
        <f t="shared" si="3"/>
        <v>60</v>
      </c>
      <c r="T26" s="2"/>
      <c r="U26" s="2"/>
      <c r="V26" s="2"/>
      <c r="W26" s="2"/>
      <c r="X26" s="2"/>
      <c r="Y26" s="2"/>
      <c r="Z26" s="2"/>
    </row>
    <row r="27" spans="1:26" ht="15.75" customHeight="1">
      <c r="A27" s="2" t="e">
        <f t="shared" ref="A27:E27" si="40">+#REF!</f>
        <v>#REF!</v>
      </c>
      <c r="B27" s="2" t="e">
        <f t="shared" si="40"/>
        <v>#REF!</v>
      </c>
      <c r="C27" s="2" t="e">
        <f t="shared" si="40"/>
        <v>#REF!</v>
      </c>
      <c r="D27" s="2" t="e">
        <f t="shared" si="40"/>
        <v>#REF!</v>
      </c>
      <c r="E27" s="2" t="e">
        <f t="shared" si="40"/>
        <v>#REF!</v>
      </c>
      <c r="F27" s="2" t="s">
        <v>694</v>
      </c>
      <c r="G27" s="24" t="e">
        <f t="shared" si="1"/>
        <v>#REF!</v>
      </c>
      <c r="H27" s="7" t="e">
        <f t="shared" ref="H27:K27" si="41">+#REF!</f>
        <v>#REF!</v>
      </c>
      <c r="I27" s="7" t="e">
        <f t="shared" si="41"/>
        <v>#REF!</v>
      </c>
      <c r="J27" s="7" t="e">
        <f t="shared" si="41"/>
        <v>#REF!</v>
      </c>
      <c r="K27" s="7" t="e">
        <f t="shared" si="41"/>
        <v>#REF!</v>
      </c>
      <c r="L27" s="112"/>
      <c r="M27" s="7">
        <f>+VACANTES!H27</f>
        <v>55</v>
      </c>
      <c r="N27" s="7">
        <f>+VACANTES!I27</f>
        <v>0</v>
      </c>
      <c r="O27" s="7">
        <f>+VACANTES!J27</f>
        <v>0</v>
      </c>
      <c r="P27" s="7">
        <f>+VACANTES!K27</f>
        <v>5</v>
      </c>
      <c r="Q27" s="7">
        <f>+VACANTES!L27</f>
        <v>5</v>
      </c>
      <c r="R27" s="7">
        <f>+VACANTES!N27</f>
        <v>65</v>
      </c>
      <c r="S27" s="2">
        <f t="shared" si="3"/>
        <v>60</v>
      </c>
      <c r="T27" s="2"/>
      <c r="U27" s="2"/>
      <c r="V27" s="2"/>
      <c r="W27" s="2"/>
      <c r="X27" s="2"/>
      <c r="Y27" s="2"/>
      <c r="Z27" s="2"/>
    </row>
    <row r="28" spans="1:26" ht="15.75" customHeight="1">
      <c r="A28" s="2" t="e">
        <f t="shared" ref="A28:E28" si="42">+#REF!</f>
        <v>#REF!</v>
      </c>
      <c r="B28" s="2" t="e">
        <f t="shared" si="42"/>
        <v>#REF!</v>
      </c>
      <c r="C28" s="2" t="e">
        <f t="shared" si="42"/>
        <v>#REF!</v>
      </c>
      <c r="D28" s="2" t="e">
        <f t="shared" si="42"/>
        <v>#REF!</v>
      </c>
      <c r="E28" s="2" t="e">
        <f t="shared" si="42"/>
        <v>#REF!</v>
      </c>
      <c r="F28" s="2"/>
      <c r="G28" s="24" t="e">
        <f t="shared" si="1"/>
        <v>#REF!</v>
      </c>
      <c r="H28" s="7" t="e">
        <f t="shared" ref="H28:K28" si="43">+#REF!</f>
        <v>#REF!</v>
      </c>
      <c r="I28" s="7" t="e">
        <f t="shared" si="43"/>
        <v>#REF!</v>
      </c>
      <c r="J28" s="7" t="e">
        <f t="shared" si="43"/>
        <v>#REF!</v>
      </c>
      <c r="K28" s="7" t="e">
        <f t="shared" si="43"/>
        <v>#REF!</v>
      </c>
      <c r="L28" s="112"/>
      <c r="M28" s="7">
        <f>+VACANTES!H28</f>
        <v>55</v>
      </c>
      <c r="N28" s="7">
        <f>+VACANTES!I28</f>
        <v>0</v>
      </c>
      <c r="O28" s="7">
        <f>+VACANTES!J28</f>
        <v>0</v>
      </c>
      <c r="P28" s="7">
        <f>+VACANTES!K28</f>
        <v>5</v>
      </c>
      <c r="Q28" s="7">
        <f>+VACANTES!L28</f>
        <v>0</v>
      </c>
      <c r="R28" s="7">
        <f>+VACANTES!N28</f>
        <v>60</v>
      </c>
      <c r="S28" s="2">
        <f t="shared" si="3"/>
        <v>60</v>
      </c>
      <c r="T28" s="2"/>
      <c r="U28" s="2"/>
      <c r="V28" s="2"/>
      <c r="W28" s="2"/>
      <c r="X28" s="2"/>
      <c r="Y28" s="2"/>
      <c r="Z28" s="2"/>
    </row>
    <row r="29" spans="1:26" ht="15.75" customHeight="1">
      <c r="A29" s="2" t="e">
        <f t="shared" ref="A29:E29" si="44">+#REF!</f>
        <v>#REF!</v>
      </c>
      <c r="B29" s="2" t="e">
        <f t="shared" si="44"/>
        <v>#REF!</v>
      </c>
      <c r="C29" s="2" t="e">
        <f t="shared" si="44"/>
        <v>#REF!</v>
      </c>
      <c r="D29" s="2" t="e">
        <f t="shared" si="44"/>
        <v>#REF!</v>
      </c>
      <c r="E29" s="2" t="e">
        <f t="shared" si="44"/>
        <v>#REF!</v>
      </c>
      <c r="F29" s="24"/>
      <c r="G29" s="24" t="e">
        <f t="shared" si="1"/>
        <v>#REF!</v>
      </c>
      <c r="H29" s="7" t="e">
        <f t="shared" ref="H29:K29" si="45">+#REF!</f>
        <v>#REF!</v>
      </c>
      <c r="I29" s="7" t="e">
        <f t="shared" si="45"/>
        <v>#REF!</v>
      </c>
      <c r="J29" s="7" t="e">
        <f t="shared" si="45"/>
        <v>#REF!</v>
      </c>
      <c r="K29" s="7" t="e">
        <f t="shared" si="45"/>
        <v>#REF!</v>
      </c>
      <c r="L29" s="112"/>
      <c r="M29" s="7">
        <f>+VACANTES!H29</f>
        <v>60</v>
      </c>
      <c r="N29" s="7">
        <f>+VACANTES!I29</f>
        <v>0</v>
      </c>
      <c r="O29" s="7">
        <f>+VACANTES!J29</f>
        <v>0</v>
      </c>
      <c r="P29" s="7">
        <f>+VACANTES!K29</f>
        <v>0</v>
      </c>
      <c r="Q29" s="7">
        <f>+VACANTES!L29</f>
        <v>5</v>
      </c>
      <c r="R29" s="7">
        <f>+VACANTES!N29</f>
        <v>65</v>
      </c>
      <c r="S29" s="2">
        <f t="shared" si="3"/>
        <v>60</v>
      </c>
      <c r="T29" s="2"/>
      <c r="U29" s="2"/>
      <c r="V29" s="2"/>
      <c r="W29" s="2"/>
      <c r="X29" s="2"/>
      <c r="Y29" s="2"/>
      <c r="Z29" s="2"/>
    </row>
    <row r="30" spans="1:26" ht="15.75" customHeight="1">
      <c r="A30" s="2" t="e">
        <f t="shared" ref="A30:E30" si="46">+#REF!</f>
        <v>#REF!</v>
      </c>
      <c r="B30" s="2" t="e">
        <f t="shared" si="46"/>
        <v>#REF!</v>
      </c>
      <c r="C30" s="2" t="e">
        <f t="shared" si="46"/>
        <v>#REF!</v>
      </c>
      <c r="D30" s="2" t="e">
        <f t="shared" si="46"/>
        <v>#REF!</v>
      </c>
      <c r="E30" s="2" t="e">
        <f t="shared" si="46"/>
        <v>#REF!</v>
      </c>
      <c r="F30" s="24" t="s">
        <v>706</v>
      </c>
      <c r="G30" s="24" t="e">
        <f t="shared" si="1"/>
        <v>#REF!</v>
      </c>
      <c r="H30" s="7" t="e">
        <f t="shared" ref="H30:K30" si="47">+#REF!</f>
        <v>#REF!</v>
      </c>
      <c r="I30" s="7" t="e">
        <f t="shared" si="47"/>
        <v>#REF!</v>
      </c>
      <c r="J30" s="7" t="e">
        <f t="shared" si="47"/>
        <v>#REF!</v>
      </c>
      <c r="K30" s="7" t="e">
        <f t="shared" si="47"/>
        <v>#REF!</v>
      </c>
      <c r="L30" s="112"/>
      <c r="M30" s="7">
        <f>+VACANTES!H30</f>
        <v>60</v>
      </c>
      <c r="N30" s="7">
        <f>+VACANTES!I30</f>
        <v>0</v>
      </c>
      <c r="O30" s="7">
        <f>+VACANTES!J30</f>
        <v>0</v>
      </c>
      <c r="P30" s="7">
        <f>+VACANTES!K30</f>
        <v>0</v>
      </c>
      <c r="Q30" s="7">
        <f>+VACANTES!L30</f>
        <v>5</v>
      </c>
      <c r="R30" s="7">
        <f>+VACANTES!N30</f>
        <v>65</v>
      </c>
      <c r="S30" s="2">
        <f t="shared" si="3"/>
        <v>60</v>
      </c>
      <c r="T30" s="2"/>
      <c r="U30" s="2"/>
      <c r="V30" s="2"/>
      <c r="W30" s="2"/>
      <c r="X30" s="2"/>
      <c r="Y30" s="2"/>
      <c r="Z30" s="2"/>
    </row>
    <row r="31" spans="1:26" ht="15.75" customHeight="1">
      <c r="A31" s="2" t="e">
        <f t="shared" ref="A31:E31" si="48">+#REF!</f>
        <v>#REF!</v>
      </c>
      <c r="B31" s="2" t="e">
        <f t="shared" si="48"/>
        <v>#REF!</v>
      </c>
      <c r="C31" s="2" t="e">
        <f t="shared" si="48"/>
        <v>#REF!</v>
      </c>
      <c r="D31" s="2" t="e">
        <f t="shared" si="48"/>
        <v>#REF!</v>
      </c>
      <c r="E31" s="2" t="e">
        <f t="shared" si="48"/>
        <v>#REF!</v>
      </c>
      <c r="F31" s="2" t="s">
        <v>707</v>
      </c>
      <c r="G31" s="24" t="e">
        <f t="shared" si="1"/>
        <v>#REF!</v>
      </c>
      <c r="H31" s="7" t="e">
        <f t="shared" ref="H31:K31" si="49">+#REF!</f>
        <v>#REF!</v>
      </c>
      <c r="I31" s="7" t="e">
        <f t="shared" si="49"/>
        <v>#REF!</v>
      </c>
      <c r="J31" s="7" t="e">
        <f t="shared" si="49"/>
        <v>#REF!</v>
      </c>
      <c r="K31" s="7" t="e">
        <f t="shared" si="49"/>
        <v>#REF!</v>
      </c>
      <c r="L31" s="112"/>
      <c r="M31" s="7">
        <f>+VACANTES!H31</f>
        <v>60</v>
      </c>
      <c r="N31" s="7">
        <f>+VACANTES!I31</f>
        <v>0</v>
      </c>
      <c r="O31" s="7">
        <f>+VACANTES!J31</f>
        <v>0</v>
      </c>
      <c r="P31" s="7">
        <f>+VACANTES!K31</f>
        <v>5</v>
      </c>
      <c r="Q31" s="7">
        <f>+VACANTES!L31</f>
        <v>5</v>
      </c>
      <c r="R31" s="7">
        <f>+VACANTES!N31</f>
        <v>70</v>
      </c>
      <c r="S31" s="2">
        <f t="shared" si="3"/>
        <v>65</v>
      </c>
      <c r="T31" s="2"/>
      <c r="U31" s="2"/>
      <c r="V31" s="2"/>
      <c r="W31" s="2"/>
      <c r="X31" s="2"/>
      <c r="Y31" s="2"/>
      <c r="Z31" s="2"/>
    </row>
    <row r="32" spans="1:26" ht="15.75" customHeight="1">
      <c r="A32" s="2" t="e">
        <f t="shared" ref="A32:E32" si="50">+#REF!</f>
        <v>#REF!</v>
      </c>
      <c r="B32" s="2" t="e">
        <f t="shared" si="50"/>
        <v>#REF!</v>
      </c>
      <c r="C32" s="2" t="e">
        <f t="shared" si="50"/>
        <v>#REF!</v>
      </c>
      <c r="D32" s="2" t="e">
        <f t="shared" si="50"/>
        <v>#REF!</v>
      </c>
      <c r="E32" s="2" t="e">
        <f t="shared" si="50"/>
        <v>#REF!</v>
      </c>
      <c r="F32" s="24" t="s">
        <v>708</v>
      </c>
      <c r="G32" s="24" t="e">
        <f t="shared" si="1"/>
        <v>#REF!</v>
      </c>
      <c r="H32" s="7" t="e">
        <f t="shared" ref="H32:K32" si="51">+#REF!</f>
        <v>#REF!</v>
      </c>
      <c r="I32" s="7" t="e">
        <f t="shared" si="51"/>
        <v>#REF!</v>
      </c>
      <c r="J32" s="7" t="e">
        <f t="shared" si="51"/>
        <v>#REF!</v>
      </c>
      <c r="K32" s="7" t="e">
        <f t="shared" si="51"/>
        <v>#REF!</v>
      </c>
      <c r="L32" s="112"/>
      <c r="M32" s="7">
        <f>+VACANTES!H32</f>
        <v>60</v>
      </c>
      <c r="N32" s="7">
        <f>+VACANTES!I32</f>
        <v>0</v>
      </c>
      <c r="O32" s="7">
        <f>+VACANTES!J32</f>
        <v>0</v>
      </c>
      <c r="P32" s="7">
        <f>+VACANTES!K32</f>
        <v>5</v>
      </c>
      <c r="Q32" s="7">
        <f>+VACANTES!L32</f>
        <v>5</v>
      </c>
      <c r="R32" s="7">
        <f>+VACANTES!N32</f>
        <v>70</v>
      </c>
      <c r="S32" s="2">
        <f t="shared" si="3"/>
        <v>65</v>
      </c>
      <c r="T32" s="2"/>
      <c r="U32" s="2"/>
      <c r="V32" s="2"/>
      <c r="W32" s="2"/>
      <c r="X32" s="2"/>
      <c r="Y32" s="2"/>
      <c r="Z32" s="2"/>
    </row>
    <row r="33" spans="1:26" ht="15.75" customHeight="1">
      <c r="A33" s="2" t="e">
        <f t="shared" ref="A33:E33" si="52">+#REF!</f>
        <v>#REF!</v>
      </c>
      <c r="B33" s="2" t="e">
        <f t="shared" si="52"/>
        <v>#REF!</v>
      </c>
      <c r="C33" s="2" t="e">
        <f t="shared" si="52"/>
        <v>#REF!</v>
      </c>
      <c r="D33" s="2" t="e">
        <f t="shared" si="52"/>
        <v>#REF!</v>
      </c>
      <c r="E33" s="2" t="e">
        <f t="shared" si="52"/>
        <v>#REF!</v>
      </c>
      <c r="F33" s="24" t="s">
        <v>709</v>
      </c>
      <c r="G33" s="24" t="e">
        <f t="shared" si="1"/>
        <v>#REF!</v>
      </c>
      <c r="H33" s="7"/>
      <c r="I33" s="7"/>
      <c r="J33" s="7" t="e">
        <f t="shared" ref="J33:K33" si="53">+#REF!</f>
        <v>#REF!</v>
      </c>
      <c r="K33" s="7" t="e">
        <f t="shared" si="53"/>
        <v>#REF!</v>
      </c>
      <c r="L33" s="112"/>
      <c r="M33" s="7">
        <f>+VACANTES!H33</f>
        <v>55</v>
      </c>
      <c r="N33" s="7">
        <f>+VACANTES!I33</f>
        <v>0</v>
      </c>
      <c r="O33" s="7">
        <f>+VACANTES!J33</f>
        <v>0</v>
      </c>
      <c r="P33" s="7">
        <f>+VACANTES!K33</f>
        <v>5</v>
      </c>
      <c r="Q33" s="7">
        <f>+VACANTES!L33</f>
        <v>2</v>
      </c>
      <c r="R33" s="7">
        <f>+VACANTES!N33</f>
        <v>62</v>
      </c>
      <c r="S33" s="2">
        <f t="shared" si="3"/>
        <v>60</v>
      </c>
      <c r="T33" s="2"/>
      <c r="U33" s="2"/>
      <c r="V33" s="2"/>
      <c r="W33" s="2"/>
      <c r="X33" s="2"/>
      <c r="Y33" s="2"/>
      <c r="Z33" s="2"/>
    </row>
    <row r="34" spans="1:26" ht="15.75" customHeight="1">
      <c r="A34" s="2" t="e">
        <f t="shared" ref="A34:E34" si="54">+#REF!</f>
        <v>#REF!</v>
      </c>
      <c r="B34" s="2" t="e">
        <f t="shared" si="54"/>
        <v>#REF!</v>
      </c>
      <c r="C34" s="2" t="e">
        <f t="shared" si="54"/>
        <v>#REF!</v>
      </c>
      <c r="D34" s="2" t="e">
        <f t="shared" si="54"/>
        <v>#REF!</v>
      </c>
      <c r="E34" s="2" t="e">
        <f t="shared" si="54"/>
        <v>#REF!</v>
      </c>
      <c r="F34" s="24" t="s">
        <v>710</v>
      </c>
      <c r="G34" s="24" t="e">
        <f t="shared" si="1"/>
        <v>#REF!</v>
      </c>
      <c r="H34" s="7" t="e">
        <f t="shared" ref="H34:K34" si="55">+#REF!</f>
        <v>#REF!</v>
      </c>
      <c r="I34" s="7" t="e">
        <f t="shared" si="55"/>
        <v>#REF!</v>
      </c>
      <c r="J34" s="7" t="e">
        <f t="shared" si="55"/>
        <v>#REF!</v>
      </c>
      <c r="K34" s="7" t="e">
        <f t="shared" si="55"/>
        <v>#REF!</v>
      </c>
      <c r="L34" s="112"/>
      <c r="M34" s="7">
        <f>+VACANTES!H34</f>
        <v>55</v>
      </c>
      <c r="N34" s="7">
        <f>+VACANTES!I34</f>
        <v>0</v>
      </c>
      <c r="O34" s="7">
        <f>+VACANTES!J34</f>
        <v>0</v>
      </c>
      <c r="P34" s="7">
        <f>+VACANTES!K34</f>
        <v>5</v>
      </c>
      <c r="Q34" s="7">
        <f>+VACANTES!L34</f>
        <v>2</v>
      </c>
      <c r="R34" s="7">
        <f>+VACANTES!N34</f>
        <v>62</v>
      </c>
      <c r="S34" s="2">
        <f t="shared" si="3"/>
        <v>60</v>
      </c>
      <c r="T34" s="2"/>
      <c r="U34" s="2"/>
      <c r="V34" s="2"/>
      <c r="W34" s="2"/>
      <c r="X34" s="2"/>
      <c r="Y34" s="2"/>
      <c r="Z34" s="2"/>
    </row>
    <row r="35" spans="1:26" ht="15.75" customHeight="1">
      <c r="A35" s="2" t="e">
        <f t="shared" ref="A35:E35" si="56">+#REF!</f>
        <v>#REF!</v>
      </c>
      <c r="B35" s="2" t="e">
        <f t="shared" si="56"/>
        <v>#REF!</v>
      </c>
      <c r="C35" s="2" t="e">
        <f t="shared" si="56"/>
        <v>#REF!</v>
      </c>
      <c r="D35" s="2" t="e">
        <f t="shared" si="56"/>
        <v>#REF!</v>
      </c>
      <c r="E35" s="2" t="e">
        <f t="shared" si="56"/>
        <v>#REF!</v>
      </c>
      <c r="F35" s="24"/>
      <c r="G35" s="24" t="e">
        <f t="shared" si="1"/>
        <v>#REF!</v>
      </c>
      <c r="H35" s="7" t="e">
        <f t="shared" ref="H35:K35" si="57">+#REF!</f>
        <v>#REF!</v>
      </c>
      <c r="I35" s="7" t="e">
        <f t="shared" si="57"/>
        <v>#REF!</v>
      </c>
      <c r="J35" s="7" t="e">
        <f t="shared" si="57"/>
        <v>#REF!</v>
      </c>
      <c r="K35" s="7" t="e">
        <f t="shared" si="57"/>
        <v>#REF!</v>
      </c>
      <c r="L35" s="112"/>
      <c r="M35" s="7">
        <f>+VACANTES!H35</f>
        <v>55</v>
      </c>
      <c r="N35" s="7">
        <f>+VACANTES!I35</f>
        <v>0</v>
      </c>
      <c r="O35" s="7">
        <f>+VACANTES!J35</f>
        <v>0</v>
      </c>
      <c r="P35" s="7">
        <f>+VACANTES!K35</f>
        <v>5</v>
      </c>
      <c r="Q35" s="7">
        <f>+VACANTES!L35</f>
        <v>0</v>
      </c>
      <c r="R35" s="7">
        <f>+VACANTES!N35</f>
        <v>60</v>
      </c>
      <c r="S35" s="2">
        <f t="shared" si="3"/>
        <v>60</v>
      </c>
      <c r="T35" s="2"/>
      <c r="U35" s="2"/>
      <c r="V35" s="2"/>
      <c r="W35" s="2"/>
      <c r="X35" s="2"/>
      <c r="Y35" s="2"/>
      <c r="Z35" s="2"/>
    </row>
    <row r="36" spans="1:26" ht="15.75" customHeight="1">
      <c r="A36" s="2" t="e">
        <f t="shared" ref="A36:E36" si="58">+#REF!</f>
        <v>#REF!</v>
      </c>
      <c r="B36" s="2" t="e">
        <f t="shared" si="58"/>
        <v>#REF!</v>
      </c>
      <c r="C36" s="2" t="e">
        <f t="shared" si="58"/>
        <v>#REF!</v>
      </c>
      <c r="D36" s="2" t="e">
        <f t="shared" si="58"/>
        <v>#REF!</v>
      </c>
      <c r="E36" s="2" t="e">
        <f t="shared" si="58"/>
        <v>#REF!</v>
      </c>
      <c r="F36" s="2"/>
      <c r="G36" s="24" t="e">
        <f t="shared" si="1"/>
        <v>#REF!</v>
      </c>
      <c r="H36" s="7" t="e">
        <f>#REF!</f>
        <v>#REF!</v>
      </c>
      <c r="I36" s="7" t="e">
        <f t="shared" ref="I36:K36" si="59">+#REF!</f>
        <v>#REF!</v>
      </c>
      <c r="J36" s="7" t="e">
        <f t="shared" si="59"/>
        <v>#REF!</v>
      </c>
      <c r="K36" s="7" t="e">
        <f t="shared" si="59"/>
        <v>#REF!</v>
      </c>
      <c r="L36" s="112"/>
      <c r="M36" s="7">
        <f>+VACANTES!H36</f>
        <v>55</v>
      </c>
      <c r="N36" s="7">
        <f>+VACANTES!I36</f>
        <v>0</v>
      </c>
      <c r="O36" s="7">
        <f>+VACANTES!J36</f>
        <v>20</v>
      </c>
      <c r="P36" s="7">
        <f>+VACANTES!K36</f>
        <v>3</v>
      </c>
      <c r="Q36" s="7">
        <f>+VACANTES!L36</f>
        <v>0</v>
      </c>
      <c r="R36" s="7">
        <f>+VACANTES!N36</f>
        <v>78</v>
      </c>
      <c r="S36" s="2">
        <f t="shared" si="3"/>
        <v>78</v>
      </c>
      <c r="T36" s="2"/>
      <c r="U36" s="2"/>
      <c r="V36" s="2"/>
      <c r="W36" s="2"/>
      <c r="X36" s="2"/>
      <c r="Y36" s="2"/>
      <c r="Z36" s="2"/>
    </row>
    <row r="37" spans="1:26" ht="15.75" customHeight="1">
      <c r="A37" s="2" t="e">
        <f t="shared" ref="A37:E37" si="60">+#REF!</f>
        <v>#REF!</v>
      </c>
      <c r="B37" s="2" t="e">
        <f t="shared" si="60"/>
        <v>#REF!</v>
      </c>
      <c r="C37" s="2" t="e">
        <f t="shared" si="60"/>
        <v>#REF!</v>
      </c>
      <c r="D37" s="2" t="e">
        <f t="shared" si="60"/>
        <v>#REF!</v>
      </c>
      <c r="E37" s="2" t="e">
        <f t="shared" si="60"/>
        <v>#REF!</v>
      </c>
      <c r="F37" s="2"/>
      <c r="G37" s="24" t="e">
        <f t="shared" si="1"/>
        <v>#REF!</v>
      </c>
      <c r="H37" s="7" t="e">
        <f t="shared" ref="H37:K37" si="61">+#REF!</f>
        <v>#REF!</v>
      </c>
      <c r="I37" s="7" t="e">
        <f t="shared" si="61"/>
        <v>#REF!</v>
      </c>
      <c r="J37" s="7" t="e">
        <f t="shared" si="61"/>
        <v>#REF!</v>
      </c>
      <c r="K37" s="7" t="e">
        <f t="shared" si="61"/>
        <v>#REF!</v>
      </c>
      <c r="L37" s="112"/>
      <c r="M37" s="7">
        <f>+VACANTES!H37</f>
        <v>55</v>
      </c>
      <c r="N37" s="7">
        <f>+VACANTES!I37</f>
        <v>0</v>
      </c>
      <c r="O37" s="7">
        <f>+VACANTES!J37</f>
        <v>20</v>
      </c>
      <c r="P37" s="7">
        <f>+VACANTES!K37</f>
        <v>3</v>
      </c>
      <c r="Q37" s="7">
        <f>+VACANTES!L37</f>
        <v>0</v>
      </c>
      <c r="R37" s="7">
        <f>+VACANTES!N37</f>
        <v>78</v>
      </c>
      <c r="S37" s="2">
        <f t="shared" si="3"/>
        <v>78</v>
      </c>
      <c r="T37" s="2"/>
      <c r="U37" s="2"/>
      <c r="V37" s="2"/>
      <c r="W37" s="2"/>
      <c r="X37" s="2"/>
      <c r="Y37" s="2"/>
      <c r="Z37" s="2"/>
    </row>
    <row r="38" spans="1:26" ht="15.75" customHeight="1">
      <c r="A38" s="2" t="e">
        <f t="shared" ref="A38:E38" si="62">+#REF!</f>
        <v>#REF!</v>
      </c>
      <c r="B38" s="2" t="e">
        <f t="shared" si="62"/>
        <v>#REF!</v>
      </c>
      <c r="C38" s="2" t="e">
        <f t="shared" si="62"/>
        <v>#REF!</v>
      </c>
      <c r="D38" s="2" t="e">
        <f t="shared" si="62"/>
        <v>#REF!</v>
      </c>
      <c r="E38" s="2" t="e">
        <f t="shared" si="62"/>
        <v>#REF!</v>
      </c>
      <c r="F38" s="2" t="s">
        <v>711</v>
      </c>
      <c r="G38" s="24" t="e">
        <f t="shared" si="1"/>
        <v>#REF!</v>
      </c>
      <c r="H38" s="7" t="e">
        <f t="shared" ref="H38:K38" si="63">+#REF!</f>
        <v>#REF!</v>
      </c>
      <c r="I38" s="7" t="e">
        <f t="shared" si="63"/>
        <v>#REF!</v>
      </c>
      <c r="J38" s="7" t="e">
        <f t="shared" si="63"/>
        <v>#REF!</v>
      </c>
      <c r="K38" s="7" t="e">
        <f t="shared" si="63"/>
        <v>#REF!</v>
      </c>
      <c r="L38" s="112"/>
      <c r="M38" s="7">
        <f>+VACANTES!H38</f>
        <v>63</v>
      </c>
      <c r="N38" s="7">
        <f>+VACANTES!I38</f>
        <v>0</v>
      </c>
      <c r="O38" s="7">
        <f>+VACANTES!J38</f>
        <v>7</v>
      </c>
      <c r="P38" s="7">
        <f>+VACANTES!K38</f>
        <v>0</v>
      </c>
      <c r="Q38" s="7">
        <f>+VACANTES!L38</f>
        <v>0</v>
      </c>
      <c r="R38" s="7">
        <f>+VACANTES!N38</f>
        <v>70</v>
      </c>
      <c r="S38" s="2">
        <f t="shared" si="3"/>
        <v>70</v>
      </c>
      <c r="T38" s="2"/>
      <c r="U38" s="2"/>
      <c r="V38" s="2"/>
      <c r="W38" s="2"/>
      <c r="X38" s="2"/>
      <c r="Y38" s="2"/>
      <c r="Z38" s="2"/>
    </row>
    <row r="39" spans="1:26" ht="15.75" customHeight="1">
      <c r="A39" s="2" t="e">
        <f t="shared" ref="A39:E39" si="64">+#REF!</f>
        <v>#REF!</v>
      </c>
      <c r="B39" s="2" t="e">
        <f t="shared" si="64"/>
        <v>#REF!</v>
      </c>
      <c r="C39" s="2" t="e">
        <f t="shared" si="64"/>
        <v>#REF!</v>
      </c>
      <c r="D39" s="2" t="e">
        <f t="shared" si="64"/>
        <v>#REF!</v>
      </c>
      <c r="E39" s="2" t="e">
        <f t="shared" si="64"/>
        <v>#REF!</v>
      </c>
      <c r="F39" s="2" t="s">
        <v>712</v>
      </c>
      <c r="G39" s="24" t="e">
        <f t="shared" si="1"/>
        <v>#REF!</v>
      </c>
      <c r="H39" s="7" t="e">
        <f t="shared" ref="H39:K39" si="65">+#REF!</f>
        <v>#REF!</v>
      </c>
      <c r="I39" s="7" t="e">
        <f t="shared" si="65"/>
        <v>#REF!</v>
      </c>
      <c r="J39" s="7" t="e">
        <f t="shared" si="65"/>
        <v>#REF!</v>
      </c>
      <c r="K39" s="7" t="e">
        <f t="shared" si="65"/>
        <v>#REF!</v>
      </c>
      <c r="L39" s="112"/>
      <c r="M39" s="7">
        <f>+VACANTES!H39</f>
        <v>63</v>
      </c>
      <c r="N39" s="7">
        <f>+VACANTES!I39</f>
        <v>0</v>
      </c>
      <c r="O39" s="7">
        <f>+VACANTES!J39</f>
        <v>7</v>
      </c>
      <c r="P39" s="7">
        <f>+VACANTES!K39</f>
        <v>0</v>
      </c>
      <c r="Q39" s="7">
        <f>+VACANTES!L39</f>
        <v>0</v>
      </c>
      <c r="R39" s="7">
        <f>+VACANTES!N39</f>
        <v>70</v>
      </c>
      <c r="S39" s="2">
        <f t="shared" si="3"/>
        <v>70</v>
      </c>
      <c r="T39" s="2"/>
      <c r="U39" s="2"/>
      <c r="V39" s="2"/>
      <c r="W39" s="2"/>
      <c r="X39" s="2"/>
      <c r="Y39" s="2"/>
      <c r="Z39" s="2"/>
    </row>
    <row r="40" spans="1:26" ht="15.75" customHeight="1">
      <c r="A40" s="2" t="e">
        <f t="shared" ref="A40:E40" si="66">+#REF!</f>
        <v>#REF!</v>
      </c>
      <c r="B40" s="2" t="e">
        <f t="shared" si="66"/>
        <v>#REF!</v>
      </c>
      <c r="C40" s="2" t="e">
        <f t="shared" si="66"/>
        <v>#REF!</v>
      </c>
      <c r="D40" s="2" t="e">
        <f t="shared" si="66"/>
        <v>#REF!</v>
      </c>
      <c r="E40" s="2" t="e">
        <f t="shared" si="66"/>
        <v>#REF!</v>
      </c>
      <c r="F40" s="2" t="s">
        <v>713</v>
      </c>
      <c r="G40" s="24" t="e">
        <f t="shared" si="1"/>
        <v>#REF!</v>
      </c>
      <c r="H40" s="7" t="e">
        <f t="shared" ref="H40:K40" si="67">+#REF!</f>
        <v>#REF!</v>
      </c>
      <c r="I40" s="7" t="e">
        <f t="shared" si="67"/>
        <v>#REF!</v>
      </c>
      <c r="J40" s="7" t="e">
        <f t="shared" si="67"/>
        <v>#REF!</v>
      </c>
      <c r="K40" s="7" t="e">
        <f t="shared" si="67"/>
        <v>#REF!</v>
      </c>
      <c r="L40" s="112"/>
      <c r="M40" s="7">
        <f>+VACANTES!H40</f>
        <v>63</v>
      </c>
      <c r="N40" s="7">
        <f>+VACANTES!I40</f>
        <v>0</v>
      </c>
      <c r="O40" s="7">
        <f>+VACANTES!J40</f>
        <v>7</v>
      </c>
      <c r="P40" s="7">
        <f>+VACANTES!K40</f>
        <v>0</v>
      </c>
      <c r="Q40" s="7">
        <f>+VACANTES!L40</f>
        <v>0</v>
      </c>
      <c r="R40" s="7">
        <f>+VACANTES!N40</f>
        <v>70</v>
      </c>
      <c r="S40" s="2">
        <f t="shared" si="3"/>
        <v>70</v>
      </c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7"/>
      <c r="C41" s="7"/>
      <c r="D41" s="2"/>
      <c r="E41" s="2"/>
      <c r="F41" s="2"/>
      <c r="G41" s="24"/>
      <c r="H41" s="7"/>
      <c r="I41" s="7"/>
      <c r="J41" s="7"/>
      <c r="K41" s="7"/>
      <c r="L41" s="112"/>
      <c r="M41" s="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7"/>
      <c r="C42" s="7"/>
      <c r="D42" s="2"/>
      <c r="E42" s="2"/>
      <c r="F42" s="2"/>
      <c r="G42" s="24"/>
      <c r="H42" s="7"/>
      <c r="I42" s="7"/>
      <c r="J42" s="7"/>
      <c r="K42" s="7"/>
      <c r="L42" s="112"/>
      <c r="M42" s="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33" t="s">
        <v>714</v>
      </c>
      <c r="B43" s="3"/>
      <c r="C43" s="14"/>
      <c r="D43" s="3"/>
      <c r="E43" s="26"/>
      <c r="F43" s="26"/>
      <c r="G43" s="24" t="str">
        <f>IF(D43="","",VLOOKUP(MID(A43,1,7),#REF!,3,FALSE))</f>
        <v/>
      </c>
      <c r="H43" s="7"/>
      <c r="I43" s="7"/>
      <c r="J43" s="14"/>
      <c r="K43" s="14"/>
      <c r="L43" s="110"/>
      <c r="M43" s="40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3" t="s">
        <v>11</v>
      </c>
      <c r="B44" s="14" t="s">
        <v>12</v>
      </c>
      <c r="C44" s="14" t="s">
        <v>13</v>
      </c>
      <c r="D44" s="3" t="s">
        <v>14</v>
      </c>
      <c r="E44" s="3" t="s">
        <v>15</v>
      </c>
      <c r="F44" s="3"/>
      <c r="G44" s="26" t="s">
        <v>16</v>
      </c>
      <c r="H44" s="14" t="s">
        <v>688</v>
      </c>
      <c r="I44" s="14" t="s">
        <v>681</v>
      </c>
      <c r="J44" s="14" t="s">
        <v>688</v>
      </c>
      <c r="K44" s="14" t="s">
        <v>681</v>
      </c>
      <c r="L44" s="110"/>
      <c r="M44" s="14" t="str">
        <f>+VACANTES!H57</f>
        <v>UA05</v>
      </c>
      <c r="N44" s="14" t="str">
        <f>+VACANTES!I57</f>
        <v>UA11</v>
      </c>
      <c r="O44" s="14" t="str">
        <f>+VACANTES!J57</f>
        <v>UA07</v>
      </c>
      <c r="P44" s="14" t="str">
        <f>+VACANTES!K57</f>
        <v>FG</v>
      </c>
      <c r="Q44" s="14" t="str">
        <f>+VACANTES!L57</f>
        <v>INTERC.</v>
      </c>
      <c r="R44" s="14" t="str">
        <f>+VACANTES!N57</f>
        <v>TOTAL</v>
      </c>
      <c r="S44" s="3" t="s">
        <v>22</v>
      </c>
      <c r="T44" s="3"/>
      <c r="U44" s="3"/>
      <c r="V44" s="3"/>
      <c r="W44" s="3"/>
      <c r="X44" s="3"/>
      <c r="Y44" s="3"/>
      <c r="Z44" s="3"/>
    </row>
    <row r="45" spans="1:26" ht="15.75" customHeight="1">
      <c r="A45" s="2" t="e">
        <f t="shared" ref="A45:E45" si="68">+#REF!</f>
        <v>#REF!</v>
      </c>
      <c r="B45" s="2" t="e">
        <f t="shared" si="68"/>
        <v>#REF!</v>
      </c>
      <c r="C45" s="2" t="e">
        <f t="shared" si="68"/>
        <v>#REF!</v>
      </c>
      <c r="D45" s="2" t="e">
        <f t="shared" si="68"/>
        <v>#REF!</v>
      </c>
      <c r="E45" s="2" t="e">
        <f t="shared" si="68"/>
        <v>#REF!</v>
      </c>
      <c r="F45" s="2" t="s">
        <v>715</v>
      </c>
      <c r="G45" s="24" t="e">
        <f t="shared" ref="G45:G55" si="69">IF(D45="","",VLOOKUP(MID(A45,1,7),#REF!,3,FALSE))</f>
        <v>#REF!</v>
      </c>
      <c r="H45" s="7" t="e">
        <f t="shared" ref="H45:K45" si="70">+#REF!</f>
        <v>#REF!</v>
      </c>
      <c r="I45" s="7" t="e">
        <f t="shared" si="70"/>
        <v>#REF!</v>
      </c>
      <c r="J45" s="7" t="e">
        <f t="shared" si="70"/>
        <v>#REF!</v>
      </c>
      <c r="K45" s="7" t="e">
        <f t="shared" si="70"/>
        <v>#REF!</v>
      </c>
      <c r="L45" s="112"/>
      <c r="M45" s="7">
        <f>+VACANTES!H58</f>
        <v>45</v>
      </c>
      <c r="N45" s="7">
        <f>+VACANTES!I58</f>
        <v>0</v>
      </c>
      <c r="O45" s="7">
        <f>+VACANTES!J58</f>
        <v>0</v>
      </c>
      <c r="P45" s="7">
        <f>+VACANTES!K58</f>
        <v>5</v>
      </c>
      <c r="Q45" s="7">
        <f>+VACANTES!L58</f>
        <v>5</v>
      </c>
      <c r="R45" s="7">
        <f>+VACANTES!N58</f>
        <v>55</v>
      </c>
      <c r="S45" s="2">
        <f t="shared" ref="S45:S55" si="71">+R45-Q45</f>
        <v>50</v>
      </c>
      <c r="T45" s="3"/>
      <c r="U45" s="3"/>
      <c r="V45" s="3"/>
      <c r="W45" s="3"/>
      <c r="X45" s="3"/>
      <c r="Y45" s="3"/>
      <c r="Z45" s="3"/>
    </row>
    <row r="46" spans="1:26" ht="15.75" customHeight="1">
      <c r="A46" s="2" t="e">
        <f t="shared" ref="A46:E46" si="72">+#REF!</f>
        <v>#REF!</v>
      </c>
      <c r="B46" s="2" t="e">
        <f t="shared" si="72"/>
        <v>#REF!</v>
      </c>
      <c r="C46" s="2" t="e">
        <f t="shared" si="72"/>
        <v>#REF!</v>
      </c>
      <c r="D46" s="2" t="e">
        <f t="shared" si="72"/>
        <v>#REF!</v>
      </c>
      <c r="E46" s="2" t="e">
        <f t="shared" si="72"/>
        <v>#REF!</v>
      </c>
      <c r="F46" s="2" t="s">
        <v>690</v>
      </c>
      <c r="G46" s="24" t="e">
        <f t="shared" si="69"/>
        <v>#REF!</v>
      </c>
      <c r="H46" s="7" t="e">
        <f t="shared" ref="H46:K46" si="73">+#REF!</f>
        <v>#REF!</v>
      </c>
      <c r="I46" s="7" t="e">
        <f t="shared" si="73"/>
        <v>#REF!</v>
      </c>
      <c r="J46" s="7" t="e">
        <f t="shared" si="73"/>
        <v>#REF!</v>
      </c>
      <c r="K46" s="7" t="e">
        <f t="shared" si="73"/>
        <v>#REF!</v>
      </c>
      <c r="L46" s="112"/>
      <c r="M46" s="7">
        <f>+VACANTES!H59</f>
        <v>25</v>
      </c>
      <c r="N46" s="7">
        <f>+VACANTES!I59</f>
        <v>0</v>
      </c>
      <c r="O46" s="7">
        <f>+VACANTES!J59</f>
        <v>0</v>
      </c>
      <c r="P46" s="7">
        <f>+VACANTES!K59</f>
        <v>2</v>
      </c>
      <c r="Q46" s="7">
        <f>+VACANTES!L59</f>
        <v>3</v>
      </c>
      <c r="R46" s="7">
        <f>+VACANTES!N59</f>
        <v>30</v>
      </c>
      <c r="S46" s="2">
        <f t="shared" si="71"/>
        <v>27</v>
      </c>
      <c r="T46" s="2"/>
      <c r="U46" s="2"/>
      <c r="V46" s="2"/>
      <c r="W46" s="2"/>
      <c r="X46" s="2"/>
      <c r="Y46" s="2"/>
      <c r="Z46" s="2"/>
    </row>
    <row r="47" spans="1:26" ht="15.75" customHeight="1">
      <c r="A47" s="2" t="e">
        <f t="shared" ref="A47:E47" si="74">+#REF!</f>
        <v>#REF!</v>
      </c>
      <c r="B47" s="2" t="e">
        <f t="shared" si="74"/>
        <v>#REF!</v>
      </c>
      <c r="C47" s="2" t="e">
        <f t="shared" si="74"/>
        <v>#REF!</v>
      </c>
      <c r="D47" s="2" t="e">
        <f t="shared" si="74"/>
        <v>#REF!</v>
      </c>
      <c r="E47" s="2" t="e">
        <f t="shared" si="74"/>
        <v>#REF!</v>
      </c>
      <c r="F47" s="2" t="s">
        <v>716</v>
      </c>
      <c r="G47" s="24" t="e">
        <f t="shared" si="69"/>
        <v>#REF!</v>
      </c>
      <c r="H47" s="7" t="e">
        <f t="shared" ref="H47:K47" si="75">+#REF!</f>
        <v>#REF!</v>
      </c>
      <c r="I47" s="7" t="e">
        <f t="shared" si="75"/>
        <v>#REF!</v>
      </c>
      <c r="J47" s="7" t="e">
        <f t="shared" si="75"/>
        <v>#REF!</v>
      </c>
      <c r="K47" s="7" t="e">
        <f t="shared" si="75"/>
        <v>#REF!</v>
      </c>
      <c r="L47" s="112"/>
      <c r="M47" s="7">
        <f>+VACANTES!H60</f>
        <v>25</v>
      </c>
      <c r="N47" s="7">
        <f>+VACANTES!I60</f>
        <v>0</v>
      </c>
      <c r="O47" s="7">
        <f>+VACANTES!J60</f>
        <v>0</v>
      </c>
      <c r="P47" s="7">
        <f>+VACANTES!K60</f>
        <v>2</v>
      </c>
      <c r="Q47" s="7">
        <f>+VACANTES!L60</f>
        <v>3</v>
      </c>
      <c r="R47" s="7">
        <f>+VACANTES!N60</f>
        <v>30</v>
      </c>
      <c r="S47" s="2">
        <f t="shared" si="71"/>
        <v>27</v>
      </c>
      <c r="T47" s="2"/>
      <c r="U47" s="2"/>
      <c r="V47" s="2"/>
      <c r="W47" s="2"/>
      <c r="X47" s="2"/>
      <c r="Y47" s="2"/>
      <c r="Z47" s="2"/>
    </row>
    <row r="48" spans="1:26" ht="15.75" customHeight="1">
      <c r="A48" s="2" t="e">
        <f t="shared" ref="A48:E48" si="76">+#REF!</f>
        <v>#REF!</v>
      </c>
      <c r="B48" s="2" t="e">
        <f t="shared" si="76"/>
        <v>#REF!</v>
      </c>
      <c r="C48" s="2" t="e">
        <f t="shared" si="76"/>
        <v>#REF!</v>
      </c>
      <c r="D48" s="2" t="e">
        <f t="shared" si="76"/>
        <v>#REF!</v>
      </c>
      <c r="E48" s="2" t="e">
        <f t="shared" si="76"/>
        <v>#REF!</v>
      </c>
      <c r="F48" s="2" t="s">
        <v>716</v>
      </c>
      <c r="G48" s="24" t="e">
        <f t="shared" si="69"/>
        <v>#REF!</v>
      </c>
      <c r="H48" s="7" t="e">
        <f t="shared" ref="H48:K48" si="77">+#REF!</f>
        <v>#REF!</v>
      </c>
      <c r="I48" s="7" t="e">
        <f t="shared" si="77"/>
        <v>#REF!</v>
      </c>
      <c r="J48" s="7" t="e">
        <f t="shared" si="77"/>
        <v>#REF!</v>
      </c>
      <c r="K48" s="7" t="e">
        <f t="shared" si="77"/>
        <v>#REF!</v>
      </c>
      <c r="L48" s="112"/>
      <c r="M48" s="7" t="e">
        <f>+VACANTES!#REF!</f>
        <v>#REF!</v>
      </c>
      <c r="N48" s="7" t="e">
        <f>+VACANTES!#REF!</f>
        <v>#REF!</v>
      </c>
      <c r="O48" s="7" t="e">
        <f>+VACANTES!#REF!</f>
        <v>#REF!</v>
      </c>
      <c r="P48" s="7" t="e">
        <f>+VACANTES!#REF!</f>
        <v>#REF!</v>
      </c>
      <c r="Q48" s="7" t="e">
        <f>+VACANTES!#REF!</f>
        <v>#REF!</v>
      </c>
      <c r="R48" s="7" t="e">
        <f>+VACANTES!#REF!</f>
        <v>#REF!</v>
      </c>
      <c r="S48" s="2" t="e">
        <f t="shared" si="71"/>
        <v>#REF!</v>
      </c>
      <c r="T48" s="2"/>
      <c r="U48" s="2"/>
      <c r="V48" s="2"/>
      <c r="W48" s="2"/>
      <c r="X48" s="2"/>
      <c r="Y48" s="2"/>
      <c r="Z48" s="2"/>
    </row>
    <row r="49" spans="1:26" ht="15.75" customHeight="1">
      <c r="A49" s="2" t="e">
        <f t="shared" ref="A49:E49" si="78">+#REF!</f>
        <v>#REF!</v>
      </c>
      <c r="B49" s="2" t="e">
        <f t="shared" si="78"/>
        <v>#REF!</v>
      </c>
      <c r="C49" s="2" t="e">
        <f t="shared" si="78"/>
        <v>#REF!</v>
      </c>
      <c r="D49" s="2" t="e">
        <f t="shared" si="78"/>
        <v>#REF!</v>
      </c>
      <c r="E49" s="2" t="e">
        <f t="shared" si="78"/>
        <v>#REF!</v>
      </c>
      <c r="F49" s="2" t="s">
        <v>717</v>
      </c>
      <c r="G49" s="24" t="e">
        <f t="shared" si="69"/>
        <v>#REF!</v>
      </c>
      <c r="H49" s="7" t="e">
        <f t="shared" ref="H49:K49" si="79">+#REF!</f>
        <v>#REF!</v>
      </c>
      <c r="I49" s="7" t="e">
        <f t="shared" si="79"/>
        <v>#REF!</v>
      </c>
      <c r="J49" s="7" t="e">
        <f t="shared" si="79"/>
        <v>#REF!</v>
      </c>
      <c r="K49" s="7" t="e">
        <f t="shared" si="79"/>
        <v>#REF!</v>
      </c>
      <c r="L49" s="112"/>
      <c r="M49" s="7">
        <f>+VACANTES!H61</f>
        <v>30</v>
      </c>
      <c r="N49" s="7">
        <f>+VACANTES!I61</f>
        <v>0</v>
      </c>
      <c r="O49" s="7">
        <f>+VACANTES!J61</f>
        <v>0</v>
      </c>
      <c r="P49" s="7">
        <f>+VACANTES!K61</f>
        <v>3</v>
      </c>
      <c r="Q49" s="7">
        <f>+VACANTES!L61</f>
        <v>2</v>
      </c>
      <c r="R49" s="7">
        <f>+VACANTES!N61</f>
        <v>35</v>
      </c>
      <c r="S49" s="2">
        <f t="shared" si="71"/>
        <v>33</v>
      </c>
      <c r="T49" s="2"/>
      <c r="U49" s="2"/>
      <c r="V49" s="2"/>
      <c r="W49" s="2"/>
      <c r="X49" s="2"/>
      <c r="Y49" s="2"/>
      <c r="Z49" s="2"/>
    </row>
    <row r="50" spans="1:26" ht="15.75" customHeight="1">
      <c r="A50" s="2" t="e">
        <f t="shared" ref="A50:E50" si="80">+#REF!</f>
        <v>#REF!</v>
      </c>
      <c r="B50" s="2" t="e">
        <f t="shared" si="80"/>
        <v>#REF!</v>
      </c>
      <c r="C50" s="2" t="e">
        <f t="shared" si="80"/>
        <v>#REF!</v>
      </c>
      <c r="D50" s="2" t="e">
        <f t="shared" si="80"/>
        <v>#REF!</v>
      </c>
      <c r="E50" s="2" t="e">
        <f t="shared" si="80"/>
        <v>#REF!</v>
      </c>
      <c r="F50" s="2" t="s">
        <v>718</v>
      </c>
      <c r="G50" s="24" t="e">
        <f t="shared" si="69"/>
        <v>#REF!</v>
      </c>
      <c r="H50" s="7" t="e">
        <f t="shared" ref="H50:K50" si="81">+#REF!</f>
        <v>#REF!</v>
      </c>
      <c r="I50" s="7" t="e">
        <f t="shared" si="81"/>
        <v>#REF!</v>
      </c>
      <c r="J50" s="7" t="e">
        <f t="shared" si="81"/>
        <v>#REF!</v>
      </c>
      <c r="K50" s="7" t="e">
        <f t="shared" si="81"/>
        <v>#REF!</v>
      </c>
      <c r="L50" s="112"/>
      <c r="M50" s="7" t="e">
        <f>+VACANTES!#REF!</f>
        <v>#REF!</v>
      </c>
      <c r="N50" s="7" t="e">
        <f>+VACANTES!#REF!</f>
        <v>#REF!</v>
      </c>
      <c r="O50" s="7" t="e">
        <f>+VACANTES!#REF!</f>
        <v>#REF!</v>
      </c>
      <c r="P50" s="7" t="e">
        <f>+VACANTES!#REF!</f>
        <v>#REF!</v>
      </c>
      <c r="Q50" s="7" t="e">
        <f>+VACANTES!#REF!</f>
        <v>#REF!</v>
      </c>
      <c r="R50" s="7" t="e">
        <f>+VACANTES!#REF!</f>
        <v>#REF!</v>
      </c>
      <c r="S50" s="2" t="e">
        <f t="shared" si="71"/>
        <v>#REF!</v>
      </c>
      <c r="T50" s="2"/>
      <c r="U50" s="2"/>
      <c r="V50" s="2"/>
      <c r="W50" s="2"/>
      <c r="X50" s="2"/>
      <c r="Y50" s="2"/>
      <c r="Z50" s="2"/>
    </row>
    <row r="51" spans="1:26" ht="15.75" customHeight="1">
      <c r="A51" s="2" t="e">
        <f t="shared" ref="A51:E51" si="82">+#REF!</f>
        <v>#REF!</v>
      </c>
      <c r="B51" s="2" t="e">
        <f t="shared" si="82"/>
        <v>#REF!</v>
      </c>
      <c r="C51" s="2" t="e">
        <f t="shared" si="82"/>
        <v>#REF!</v>
      </c>
      <c r="D51" s="2" t="e">
        <f t="shared" si="82"/>
        <v>#REF!</v>
      </c>
      <c r="E51" s="2" t="e">
        <f t="shared" si="82"/>
        <v>#REF!</v>
      </c>
      <c r="F51" s="2" t="s">
        <v>719</v>
      </c>
      <c r="G51" s="24" t="e">
        <f t="shared" si="69"/>
        <v>#REF!</v>
      </c>
      <c r="H51" s="7" t="e">
        <f t="shared" ref="H51:K51" si="83">+#REF!</f>
        <v>#REF!</v>
      </c>
      <c r="I51" s="7" t="e">
        <f t="shared" si="83"/>
        <v>#REF!</v>
      </c>
      <c r="J51" s="7" t="e">
        <f t="shared" si="83"/>
        <v>#REF!</v>
      </c>
      <c r="K51" s="7" t="e">
        <f t="shared" si="83"/>
        <v>#REF!</v>
      </c>
      <c r="L51" s="112"/>
      <c r="M51" s="7">
        <f>+VACANTES!H62</f>
        <v>55</v>
      </c>
      <c r="N51" s="7">
        <f>+VACANTES!I62</f>
        <v>0</v>
      </c>
      <c r="O51" s="7">
        <f>+VACANTES!J62</f>
        <v>0</v>
      </c>
      <c r="P51" s="7">
        <f>+VACANTES!K62</f>
        <v>5</v>
      </c>
      <c r="Q51" s="7">
        <f>+VACANTES!L62</f>
        <v>5</v>
      </c>
      <c r="R51" s="7">
        <f>+VACANTES!N62</f>
        <v>65</v>
      </c>
      <c r="S51" s="2">
        <f t="shared" si="71"/>
        <v>60</v>
      </c>
      <c r="T51" s="2"/>
      <c r="U51" s="2"/>
      <c r="V51" s="2"/>
      <c r="W51" s="2"/>
      <c r="X51" s="2"/>
      <c r="Y51" s="2"/>
      <c r="Z51" s="2"/>
    </row>
    <row r="52" spans="1:26" ht="15.75" customHeight="1">
      <c r="A52" s="2" t="e">
        <f t="shared" ref="A52:E52" si="84">+#REF!</f>
        <v>#REF!</v>
      </c>
      <c r="B52" s="2" t="e">
        <f t="shared" si="84"/>
        <v>#REF!</v>
      </c>
      <c r="C52" s="2" t="e">
        <f t="shared" si="84"/>
        <v>#REF!</v>
      </c>
      <c r="D52" s="2" t="e">
        <f t="shared" si="84"/>
        <v>#REF!</v>
      </c>
      <c r="E52" s="2" t="e">
        <f t="shared" si="84"/>
        <v>#REF!</v>
      </c>
      <c r="F52" s="2" t="s">
        <v>720</v>
      </c>
      <c r="G52" s="24" t="e">
        <f t="shared" si="69"/>
        <v>#REF!</v>
      </c>
      <c r="H52" s="7" t="e">
        <f t="shared" ref="H52:K52" si="85">+#REF!</f>
        <v>#REF!</v>
      </c>
      <c r="I52" s="7" t="e">
        <f t="shared" si="85"/>
        <v>#REF!</v>
      </c>
      <c r="J52" s="7" t="e">
        <f t="shared" si="85"/>
        <v>#REF!</v>
      </c>
      <c r="K52" s="7" t="e">
        <f t="shared" si="85"/>
        <v>#REF!</v>
      </c>
      <c r="L52" s="112"/>
      <c r="M52" s="7">
        <f>+VACANTES!H63</f>
        <v>20</v>
      </c>
      <c r="N52" s="7">
        <f>+VACANTES!I63</f>
        <v>0</v>
      </c>
      <c r="O52" s="7">
        <f>+VACANTES!J63</f>
        <v>0</v>
      </c>
      <c r="P52" s="7">
        <f>+VACANTES!K63</f>
        <v>5</v>
      </c>
      <c r="Q52" s="7">
        <f>+VACANTES!L63</f>
        <v>5</v>
      </c>
      <c r="R52" s="7">
        <f>+VACANTES!N63</f>
        <v>30</v>
      </c>
      <c r="S52" s="2">
        <f t="shared" si="71"/>
        <v>25</v>
      </c>
      <c r="T52" s="2"/>
      <c r="U52" s="2"/>
      <c r="V52" s="2"/>
      <c r="W52" s="2"/>
      <c r="X52" s="2"/>
      <c r="Y52" s="2"/>
      <c r="Z52" s="2"/>
    </row>
    <row r="53" spans="1:26" ht="15.75" customHeight="1">
      <c r="A53" s="2" t="e">
        <f t="shared" ref="A53:D53" si="86">+#REF!</f>
        <v>#REF!</v>
      </c>
      <c r="B53" s="2" t="e">
        <f t="shared" si="86"/>
        <v>#REF!</v>
      </c>
      <c r="C53" s="2" t="e">
        <f t="shared" si="86"/>
        <v>#REF!</v>
      </c>
      <c r="D53" s="2" t="e">
        <f t="shared" si="86"/>
        <v>#REF!</v>
      </c>
      <c r="E53" s="2" t="s">
        <v>692</v>
      </c>
      <c r="F53" s="2"/>
      <c r="G53" s="24" t="e">
        <f t="shared" si="69"/>
        <v>#REF!</v>
      </c>
      <c r="H53" s="7" t="e">
        <f t="shared" ref="H53:K53" si="87">+#REF!</f>
        <v>#REF!</v>
      </c>
      <c r="I53" s="7" t="e">
        <f t="shared" si="87"/>
        <v>#REF!</v>
      </c>
      <c r="J53" s="7" t="e">
        <f t="shared" si="87"/>
        <v>#REF!</v>
      </c>
      <c r="K53" s="7" t="e">
        <f t="shared" si="87"/>
        <v>#REF!</v>
      </c>
      <c r="L53" s="112"/>
      <c r="M53" s="7" t="e">
        <f>+VACANTES!#REF!</f>
        <v>#REF!</v>
      </c>
      <c r="N53" s="7" t="e">
        <f>+VACANTES!#REF!</f>
        <v>#REF!</v>
      </c>
      <c r="O53" s="7" t="e">
        <f>+VACANTES!#REF!</f>
        <v>#REF!</v>
      </c>
      <c r="P53" s="7" t="e">
        <f>+VACANTES!#REF!</f>
        <v>#REF!</v>
      </c>
      <c r="Q53" s="7" t="e">
        <f>+VACANTES!#REF!</f>
        <v>#REF!</v>
      </c>
      <c r="R53" s="7" t="e">
        <f>+VACANTES!#REF!</f>
        <v>#REF!</v>
      </c>
      <c r="S53" s="2" t="e">
        <f t="shared" si="71"/>
        <v>#REF!</v>
      </c>
      <c r="T53" s="2"/>
      <c r="U53" s="2"/>
      <c r="V53" s="2"/>
      <c r="W53" s="2"/>
      <c r="X53" s="2"/>
      <c r="Y53" s="2"/>
      <c r="Z53" s="2"/>
    </row>
    <row r="54" spans="1:26" ht="15.75" customHeight="1">
      <c r="A54" s="2" t="e">
        <f t="shared" ref="A54:E54" si="88">+#REF!</f>
        <v>#REF!</v>
      </c>
      <c r="B54" s="2" t="e">
        <f t="shared" si="88"/>
        <v>#REF!</v>
      </c>
      <c r="C54" s="2" t="e">
        <f t="shared" si="88"/>
        <v>#REF!</v>
      </c>
      <c r="D54" s="2" t="e">
        <f t="shared" si="88"/>
        <v>#REF!</v>
      </c>
      <c r="E54" s="2" t="e">
        <f t="shared" si="88"/>
        <v>#REF!</v>
      </c>
      <c r="F54" s="2" t="s">
        <v>721</v>
      </c>
      <c r="G54" s="24" t="e">
        <f t="shared" si="69"/>
        <v>#REF!</v>
      </c>
      <c r="H54" s="7" t="e">
        <f t="shared" ref="H54:K54" si="89">+#REF!</f>
        <v>#REF!</v>
      </c>
      <c r="I54" s="7" t="e">
        <f t="shared" si="89"/>
        <v>#REF!</v>
      </c>
      <c r="J54" s="7" t="e">
        <f t="shared" si="89"/>
        <v>#REF!</v>
      </c>
      <c r="K54" s="7" t="e">
        <f t="shared" si="89"/>
        <v>#REF!</v>
      </c>
      <c r="L54" s="112"/>
      <c r="M54" s="7">
        <f>+VACANTES!H65</f>
        <v>60</v>
      </c>
      <c r="N54" s="7">
        <f>+VACANTES!I65</f>
        <v>0</v>
      </c>
      <c r="O54" s="7">
        <f>+VACANTES!J65</f>
        <v>0</v>
      </c>
      <c r="P54" s="7">
        <f>+VACANTES!K65</f>
        <v>3</v>
      </c>
      <c r="Q54" s="7">
        <f>+VACANTES!L65</f>
        <v>2</v>
      </c>
      <c r="R54" s="7">
        <f>+VACANTES!N65</f>
        <v>65</v>
      </c>
      <c r="S54" s="2">
        <f t="shared" si="71"/>
        <v>63</v>
      </c>
      <c r="T54" s="2"/>
      <c r="U54" s="2"/>
      <c r="V54" s="2"/>
      <c r="W54" s="2"/>
      <c r="X54" s="2"/>
      <c r="Y54" s="2"/>
      <c r="Z54" s="2"/>
    </row>
    <row r="55" spans="1:26" ht="15.75" customHeight="1">
      <c r="A55" s="2" t="e">
        <f t="shared" ref="A55:E55" si="90">+#REF!</f>
        <v>#REF!</v>
      </c>
      <c r="B55" s="2" t="e">
        <f t="shared" si="90"/>
        <v>#REF!</v>
      </c>
      <c r="C55" s="2" t="e">
        <f t="shared" si="90"/>
        <v>#REF!</v>
      </c>
      <c r="D55" s="2" t="e">
        <f t="shared" si="90"/>
        <v>#REF!</v>
      </c>
      <c r="E55" s="2" t="e">
        <f t="shared" si="90"/>
        <v>#REF!</v>
      </c>
      <c r="F55" s="2" t="s">
        <v>722</v>
      </c>
      <c r="G55" s="24" t="e">
        <f t="shared" si="69"/>
        <v>#REF!</v>
      </c>
      <c r="H55" s="7" t="e">
        <f t="shared" ref="H55:K55" si="91">+#REF!</f>
        <v>#REF!</v>
      </c>
      <c r="I55" s="7" t="e">
        <f t="shared" si="91"/>
        <v>#REF!</v>
      </c>
      <c r="J55" s="7" t="e">
        <f t="shared" si="91"/>
        <v>#REF!</v>
      </c>
      <c r="K55" s="7" t="e">
        <f t="shared" si="91"/>
        <v>#REF!</v>
      </c>
      <c r="L55" s="112"/>
      <c r="M55" s="7">
        <f>+VACANTES!H67</f>
        <v>60</v>
      </c>
      <c r="N55" s="7">
        <f>+VACANTES!I67</f>
        <v>0</v>
      </c>
      <c r="O55" s="7">
        <f>+VACANTES!J67</f>
        <v>0</v>
      </c>
      <c r="P55" s="7">
        <f>+VACANTES!K67</f>
        <v>3</v>
      </c>
      <c r="Q55" s="7">
        <f>+VACANTES!L67</f>
        <v>2</v>
      </c>
      <c r="R55" s="7">
        <f>+VACANTES!N67</f>
        <v>65</v>
      </c>
      <c r="S55" s="2">
        <f t="shared" si="71"/>
        <v>63</v>
      </c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7"/>
      <c r="C56" s="7"/>
      <c r="D56" s="2"/>
      <c r="E56" s="2"/>
      <c r="F56" s="2"/>
      <c r="G56" s="24"/>
      <c r="H56" s="7"/>
      <c r="I56" s="7"/>
      <c r="J56" s="7"/>
      <c r="K56" s="7"/>
      <c r="L56" s="112"/>
      <c r="M56" s="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7"/>
      <c r="C57" s="7"/>
      <c r="D57" s="2"/>
      <c r="E57" s="2"/>
      <c r="F57" s="2"/>
      <c r="G57" s="24"/>
      <c r="H57" s="7"/>
      <c r="I57" s="7"/>
      <c r="J57" s="7"/>
      <c r="K57" s="7"/>
      <c r="L57" s="112"/>
      <c r="M57" s="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33" t="s">
        <v>723</v>
      </c>
      <c r="B58" s="14"/>
      <c r="C58" s="14"/>
      <c r="D58" s="3"/>
      <c r="E58" s="26"/>
      <c r="F58" s="26"/>
      <c r="G58" s="24" t="str">
        <f>IF(D58="","",VLOOKUP(MID(A58,1,7),#REF!,3,FALSE))</f>
        <v/>
      </c>
      <c r="H58" s="7"/>
      <c r="I58" s="7"/>
      <c r="J58" s="14"/>
      <c r="K58" s="14"/>
      <c r="L58" s="110"/>
      <c r="M58" s="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3" t="s">
        <v>11</v>
      </c>
      <c r="B59" s="14" t="s">
        <v>12</v>
      </c>
      <c r="C59" s="14" t="s">
        <v>724</v>
      </c>
      <c r="D59" s="3" t="s">
        <v>725</v>
      </c>
      <c r="E59" s="26" t="s">
        <v>726</v>
      </c>
      <c r="F59" s="26"/>
      <c r="G59" s="26" t="s">
        <v>16</v>
      </c>
      <c r="H59" s="14" t="s">
        <v>688</v>
      </c>
      <c r="I59" s="14" t="s">
        <v>681</v>
      </c>
      <c r="J59" s="14" t="s">
        <v>688</v>
      </c>
      <c r="K59" s="14" t="s">
        <v>681</v>
      </c>
      <c r="L59" s="110"/>
      <c r="M59" s="14" t="str">
        <f>+VACANTES!H71</f>
        <v>UA05</v>
      </c>
      <c r="N59" s="14" t="str">
        <f>+VACANTES!I71</f>
        <v>UA11</v>
      </c>
      <c r="O59" s="14" t="str">
        <f>+VACANTES!J71</f>
        <v>UA07</v>
      </c>
      <c r="P59" s="14" t="str">
        <f>+VACANTES!K71</f>
        <v>FG</v>
      </c>
      <c r="Q59" s="14" t="str">
        <f>+VACANTES!L71</f>
        <v>INTERC.</v>
      </c>
      <c r="R59" s="14" t="str">
        <f>+VACANTES!N71</f>
        <v>TOTAL</v>
      </c>
      <c r="S59" s="3" t="s">
        <v>22</v>
      </c>
      <c r="T59" s="2"/>
      <c r="U59" s="2"/>
      <c r="V59" s="2"/>
      <c r="W59" s="2"/>
      <c r="X59" s="2"/>
      <c r="Y59" s="2"/>
      <c r="Z59" s="2"/>
    </row>
    <row r="60" spans="1:26" ht="15.75" customHeight="1">
      <c r="A60" s="2" t="e">
        <f t="shared" ref="A60:E60" si="92">+#REF!</f>
        <v>#REF!</v>
      </c>
      <c r="B60" s="2" t="e">
        <f t="shared" si="92"/>
        <v>#REF!</v>
      </c>
      <c r="C60" s="2" t="e">
        <f t="shared" si="92"/>
        <v>#REF!</v>
      </c>
      <c r="D60" s="2" t="e">
        <f t="shared" si="92"/>
        <v>#REF!</v>
      </c>
      <c r="E60" s="2" t="e">
        <f t="shared" si="92"/>
        <v>#REF!</v>
      </c>
      <c r="F60" s="24" t="s">
        <v>727</v>
      </c>
      <c r="G60" s="24" t="e">
        <f t="shared" ref="G60:G68" si="93">IF(D60="","",VLOOKUP(MID(A60,1,7),#REF!,3,FALSE))</f>
        <v>#REF!</v>
      </c>
      <c r="H60" s="7" t="e">
        <f t="shared" ref="H60:K60" si="94">+#REF!</f>
        <v>#REF!</v>
      </c>
      <c r="I60" s="7" t="e">
        <f t="shared" si="94"/>
        <v>#REF!</v>
      </c>
      <c r="J60" s="7" t="e">
        <f t="shared" si="94"/>
        <v>#REF!</v>
      </c>
      <c r="K60" s="7" t="e">
        <f t="shared" si="94"/>
        <v>#REF!</v>
      </c>
      <c r="L60" s="112"/>
      <c r="M60" s="7">
        <f>+VACANTES!H72</f>
        <v>50</v>
      </c>
      <c r="N60" s="7">
        <f>+VACANTES!I72</f>
        <v>0</v>
      </c>
      <c r="O60" s="7">
        <f>+VACANTES!J72</f>
        <v>0</v>
      </c>
      <c r="P60" s="7">
        <f>+VACANTES!K72</f>
        <v>0</v>
      </c>
      <c r="Q60" s="7">
        <f>+VACANTES!L72</f>
        <v>0</v>
      </c>
      <c r="R60" s="7">
        <f>+VACANTES!N72</f>
        <v>50</v>
      </c>
      <c r="S60" s="2">
        <f t="shared" ref="S60:S68" si="95">+R60-Q60</f>
        <v>50</v>
      </c>
      <c r="T60" s="2"/>
      <c r="U60" s="2"/>
      <c r="V60" s="2"/>
      <c r="W60" s="2"/>
      <c r="X60" s="2"/>
      <c r="Y60" s="2"/>
      <c r="Z60" s="2"/>
    </row>
    <row r="61" spans="1:26" ht="15.75" customHeight="1">
      <c r="A61" s="2" t="e">
        <f t="shared" ref="A61:E61" si="96">+#REF!</f>
        <v>#REF!</v>
      </c>
      <c r="B61" s="2" t="e">
        <f t="shared" si="96"/>
        <v>#REF!</v>
      </c>
      <c r="C61" s="2" t="e">
        <f t="shared" si="96"/>
        <v>#REF!</v>
      </c>
      <c r="D61" s="2" t="e">
        <f t="shared" si="96"/>
        <v>#REF!</v>
      </c>
      <c r="E61" s="2" t="e">
        <f t="shared" si="96"/>
        <v>#REF!</v>
      </c>
      <c r="F61" s="24" t="s">
        <v>728</v>
      </c>
      <c r="G61" s="24" t="e">
        <f t="shared" si="93"/>
        <v>#REF!</v>
      </c>
      <c r="H61" s="7" t="e">
        <f t="shared" ref="H61:K61" si="97">+#REF!</f>
        <v>#REF!</v>
      </c>
      <c r="I61" s="7" t="e">
        <f t="shared" si="97"/>
        <v>#REF!</v>
      </c>
      <c r="J61" s="7" t="e">
        <f t="shared" si="97"/>
        <v>#REF!</v>
      </c>
      <c r="K61" s="7" t="e">
        <f t="shared" si="97"/>
        <v>#REF!</v>
      </c>
      <c r="L61" s="112"/>
      <c r="M61" s="7">
        <f>+VACANTES!H73</f>
        <v>50</v>
      </c>
      <c r="N61" s="7">
        <f>+VACANTES!I73</f>
        <v>0</v>
      </c>
      <c r="O61" s="7">
        <f>+VACANTES!J73</f>
        <v>0</v>
      </c>
      <c r="P61" s="7">
        <f>+VACANTES!K73</f>
        <v>0</v>
      </c>
      <c r="Q61" s="7">
        <f>+VACANTES!L73</f>
        <v>0</v>
      </c>
      <c r="R61" s="7">
        <f>+VACANTES!N73</f>
        <v>50</v>
      </c>
      <c r="S61" s="2">
        <f t="shared" si="95"/>
        <v>50</v>
      </c>
      <c r="T61" s="2"/>
      <c r="U61" s="2"/>
      <c r="V61" s="2"/>
      <c r="W61" s="2"/>
      <c r="X61" s="2"/>
      <c r="Y61" s="2"/>
      <c r="Z61" s="2"/>
    </row>
    <row r="62" spans="1:26" ht="15.75" customHeight="1">
      <c r="A62" s="2" t="e">
        <f t="shared" ref="A62:E62" si="98">+#REF!</f>
        <v>#REF!</v>
      </c>
      <c r="B62" s="2" t="e">
        <f t="shared" si="98"/>
        <v>#REF!</v>
      </c>
      <c r="C62" s="2" t="e">
        <f t="shared" si="98"/>
        <v>#REF!</v>
      </c>
      <c r="D62" s="2" t="e">
        <f t="shared" si="98"/>
        <v>#REF!</v>
      </c>
      <c r="E62" s="2" t="e">
        <f t="shared" si="98"/>
        <v>#REF!</v>
      </c>
      <c r="F62" s="24" t="s">
        <v>729</v>
      </c>
      <c r="G62" s="24" t="e">
        <f t="shared" si="93"/>
        <v>#REF!</v>
      </c>
      <c r="H62" s="7" t="e">
        <f t="shared" ref="H62:K62" si="99">+#REF!</f>
        <v>#REF!</v>
      </c>
      <c r="I62" s="7" t="e">
        <f t="shared" si="99"/>
        <v>#REF!</v>
      </c>
      <c r="J62" s="7" t="e">
        <f t="shared" si="99"/>
        <v>#REF!</v>
      </c>
      <c r="K62" s="7" t="e">
        <f t="shared" si="99"/>
        <v>#REF!</v>
      </c>
      <c r="L62" s="112"/>
      <c r="M62" s="7">
        <f>+VACANTES!H74</f>
        <v>35</v>
      </c>
      <c r="N62" s="7">
        <f>+VACANTES!I74</f>
        <v>0</v>
      </c>
      <c r="O62" s="7">
        <f>+VACANTES!J74</f>
        <v>0</v>
      </c>
      <c r="P62" s="7">
        <f>+VACANTES!K74</f>
        <v>0</v>
      </c>
      <c r="Q62" s="7">
        <f>+VACANTES!L74</f>
        <v>0</v>
      </c>
      <c r="R62" s="7">
        <f>+VACANTES!N74</f>
        <v>35</v>
      </c>
      <c r="S62" s="2">
        <f t="shared" si="95"/>
        <v>35</v>
      </c>
      <c r="T62" s="2"/>
      <c r="U62" s="2"/>
      <c r="V62" s="2"/>
      <c r="W62" s="2"/>
      <c r="X62" s="2"/>
      <c r="Y62" s="2"/>
      <c r="Z62" s="2"/>
    </row>
    <row r="63" spans="1:26" ht="15.75" customHeight="1">
      <c r="A63" s="2" t="e">
        <f t="shared" ref="A63:E63" si="100">+#REF!</f>
        <v>#REF!</v>
      </c>
      <c r="B63" s="2" t="e">
        <f t="shared" si="100"/>
        <v>#REF!</v>
      </c>
      <c r="C63" s="2" t="e">
        <f t="shared" si="100"/>
        <v>#REF!</v>
      </c>
      <c r="D63" s="2" t="e">
        <f t="shared" si="100"/>
        <v>#REF!</v>
      </c>
      <c r="E63" s="2" t="e">
        <f t="shared" si="100"/>
        <v>#REF!</v>
      </c>
      <c r="F63" s="24" t="str">
        <f>+F62</f>
        <v>9128578-9</v>
      </c>
      <c r="G63" s="24" t="e">
        <f t="shared" si="93"/>
        <v>#REF!</v>
      </c>
      <c r="H63" s="7" t="e">
        <f t="shared" ref="H63:K63" si="101">+#REF!</f>
        <v>#REF!</v>
      </c>
      <c r="I63" s="7" t="e">
        <f t="shared" si="101"/>
        <v>#REF!</v>
      </c>
      <c r="J63" s="7" t="e">
        <f t="shared" si="101"/>
        <v>#REF!</v>
      </c>
      <c r="K63" s="7" t="e">
        <f t="shared" si="101"/>
        <v>#REF!</v>
      </c>
      <c r="L63" s="112"/>
      <c r="M63" s="7">
        <f>+VACANTES!H75</f>
        <v>35</v>
      </c>
      <c r="N63" s="7">
        <f>+VACANTES!I75</f>
        <v>0</v>
      </c>
      <c r="O63" s="7">
        <f>+VACANTES!J75</f>
        <v>0</v>
      </c>
      <c r="P63" s="7">
        <f>+VACANTES!K75</f>
        <v>0</v>
      </c>
      <c r="Q63" s="7">
        <f>+VACANTES!L75</f>
        <v>0</v>
      </c>
      <c r="R63" s="7">
        <f>+VACANTES!N75</f>
        <v>35</v>
      </c>
      <c r="S63" s="2">
        <f t="shared" si="95"/>
        <v>35</v>
      </c>
      <c r="T63" s="2"/>
      <c r="U63" s="2"/>
      <c r="V63" s="2"/>
      <c r="W63" s="2"/>
      <c r="X63" s="2"/>
      <c r="Y63" s="2"/>
      <c r="Z63" s="2"/>
    </row>
    <row r="64" spans="1:26" ht="15.75" customHeight="1">
      <c r="A64" s="2" t="e">
        <f t="shared" ref="A64:E64" si="102">+#REF!</f>
        <v>#REF!</v>
      </c>
      <c r="B64" s="2" t="e">
        <f t="shared" si="102"/>
        <v>#REF!</v>
      </c>
      <c r="C64" s="2" t="e">
        <f t="shared" si="102"/>
        <v>#REF!</v>
      </c>
      <c r="D64" s="2" t="e">
        <f t="shared" si="102"/>
        <v>#REF!</v>
      </c>
      <c r="E64" s="2" t="e">
        <f t="shared" si="102"/>
        <v>#REF!</v>
      </c>
      <c r="F64" s="2" t="s">
        <v>730</v>
      </c>
      <c r="G64" s="24" t="e">
        <f t="shared" si="93"/>
        <v>#REF!</v>
      </c>
      <c r="H64" s="7" t="e">
        <f t="shared" ref="H64:K64" si="103">+#REF!</f>
        <v>#REF!</v>
      </c>
      <c r="I64" s="7" t="e">
        <f t="shared" si="103"/>
        <v>#REF!</v>
      </c>
      <c r="J64" s="7" t="e">
        <f t="shared" si="103"/>
        <v>#REF!</v>
      </c>
      <c r="K64" s="7" t="e">
        <f t="shared" si="103"/>
        <v>#REF!</v>
      </c>
      <c r="L64" s="112"/>
      <c r="M64" s="7">
        <f>+VACANTES!H76</f>
        <v>35</v>
      </c>
      <c r="N64" s="7">
        <f>+VACANTES!I76</f>
        <v>0</v>
      </c>
      <c r="O64" s="7">
        <f>+VACANTES!J76</f>
        <v>0</v>
      </c>
      <c r="P64" s="7">
        <f>+VACANTES!K76</f>
        <v>0</v>
      </c>
      <c r="Q64" s="7">
        <f>+VACANTES!L76</f>
        <v>0</v>
      </c>
      <c r="R64" s="7">
        <f>+VACANTES!N76</f>
        <v>35</v>
      </c>
      <c r="S64" s="2">
        <f t="shared" si="95"/>
        <v>35</v>
      </c>
      <c r="T64" s="2"/>
      <c r="U64" s="2"/>
      <c r="V64" s="2"/>
      <c r="W64" s="2"/>
      <c r="X64" s="2"/>
      <c r="Y64" s="2"/>
      <c r="Z64" s="2"/>
    </row>
    <row r="65" spans="1:26" ht="15.75" customHeight="1">
      <c r="A65" s="2" t="e">
        <f t="shared" ref="A65:E65" si="104">+#REF!</f>
        <v>#REF!</v>
      </c>
      <c r="B65" s="2" t="e">
        <f t="shared" si="104"/>
        <v>#REF!</v>
      </c>
      <c r="C65" s="2" t="e">
        <f t="shared" si="104"/>
        <v>#REF!</v>
      </c>
      <c r="D65" s="2" t="e">
        <f t="shared" si="104"/>
        <v>#REF!</v>
      </c>
      <c r="E65" s="2" t="e">
        <f t="shared" si="104"/>
        <v>#REF!</v>
      </c>
      <c r="F65" s="2" t="s">
        <v>731</v>
      </c>
      <c r="G65" s="24" t="e">
        <f t="shared" si="93"/>
        <v>#REF!</v>
      </c>
      <c r="H65" s="7" t="e">
        <f t="shared" ref="H65:K65" si="105">+#REF!</f>
        <v>#REF!</v>
      </c>
      <c r="I65" s="7" t="e">
        <f t="shared" si="105"/>
        <v>#REF!</v>
      </c>
      <c r="J65" s="7" t="e">
        <f t="shared" si="105"/>
        <v>#REF!</v>
      </c>
      <c r="K65" s="7" t="e">
        <f t="shared" si="105"/>
        <v>#REF!</v>
      </c>
      <c r="L65" s="112"/>
      <c r="M65" s="7">
        <f>+VACANTES!H77</f>
        <v>60</v>
      </c>
      <c r="N65" s="7">
        <f>+VACANTES!I77</f>
        <v>0</v>
      </c>
      <c r="O65" s="7">
        <f>+VACANTES!J77</f>
        <v>0</v>
      </c>
      <c r="P65" s="7">
        <f>+VACANTES!K77</f>
        <v>5</v>
      </c>
      <c r="Q65" s="7">
        <f>+VACANTES!L77</f>
        <v>0</v>
      </c>
      <c r="R65" s="7">
        <f>+VACANTES!N77</f>
        <v>65</v>
      </c>
      <c r="S65" s="2">
        <f t="shared" si="95"/>
        <v>65</v>
      </c>
      <c r="T65" s="2"/>
      <c r="U65" s="2"/>
      <c r="V65" s="2"/>
      <c r="W65" s="2"/>
      <c r="X65" s="2"/>
      <c r="Y65" s="2"/>
      <c r="Z65" s="2"/>
    </row>
    <row r="66" spans="1:26" ht="15.75" customHeight="1">
      <c r="A66" s="2" t="e">
        <f t="shared" ref="A66:E66" si="106">+#REF!</f>
        <v>#REF!</v>
      </c>
      <c r="B66" s="2" t="e">
        <f t="shared" si="106"/>
        <v>#REF!</v>
      </c>
      <c r="C66" s="2" t="e">
        <f t="shared" si="106"/>
        <v>#REF!</v>
      </c>
      <c r="D66" s="2" t="e">
        <f t="shared" si="106"/>
        <v>#REF!</v>
      </c>
      <c r="E66" s="2" t="e">
        <f t="shared" si="106"/>
        <v>#REF!</v>
      </c>
      <c r="F66" s="24" t="s">
        <v>732</v>
      </c>
      <c r="G66" s="24" t="e">
        <f t="shared" si="93"/>
        <v>#REF!</v>
      </c>
      <c r="H66" s="7" t="e">
        <f t="shared" ref="H66:K66" si="107">+#REF!</f>
        <v>#REF!</v>
      </c>
      <c r="I66" s="7" t="e">
        <f t="shared" si="107"/>
        <v>#REF!</v>
      </c>
      <c r="J66" s="7" t="e">
        <f t="shared" si="107"/>
        <v>#REF!</v>
      </c>
      <c r="K66" s="7" t="e">
        <f t="shared" si="107"/>
        <v>#REF!</v>
      </c>
      <c r="L66" s="112"/>
      <c r="M66" s="7">
        <f>+VACANTES!H78</f>
        <v>60</v>
      </c>
      <c r="N66" s="7">
        <f>+VACANTES!I78</f>
        <v>0</v>
      </c>
      <c r="O66" s="7">
        <f>+VACANTES!J78</f>
        <v>0</v>
      </c>
      <c r="P66" s="7">
        <f>+VACANTES!K78</f>
        <v>5</v>
      </c>
      <c r="Q66" s="7">
        <f>+VACANTES!L78</f>
        <v>0</v>
      </c>
      <c r="R66" s="7">
        <f>+VACANTES!N78</f>
        <v>65</v>
      </c>
      <c r="S66" s="2">
        <f t="shared" si="95"/>
        <v>65</v>
      </c>
      <c r="T66" s="2"/>
      <c r="U66" s="2"/>
      <c r="V66" s="2"/>
      <c r="W66" s="2"/>
      <c r="X66" s="2"/>
      <c r="Y66" s="2"/>
      <c r="Z66" s="2"/>
    </row>
    <row r="67" spans="1:26" ht="15.75" customHeight="1">
      <c r="A67" s="2" t="e">
        <f t="shared" ref="A67:E67" si="108">+#REF!</f>
        <v>#REF!</v>
      </c>
      <c r="B67" s="2" t="e">
        <f t="shared" si="108"/>
        <v>#REF!</v>
      </c>
      <c r="C67" s="2" t="e">
        <f t="shared" si="108"/>
        <v>#REF!</v>
      </c>
      <c r="D67" s="2" t="e">
        <f t="shared" si="108"/>
        <v>#REF!</v>
      </c>
      <c r="E67" s="2" t="e">
        <f t="shared" si="108"/>
        <v>#REF!</v>
      </c>
      <c r="F67" s="2" t="s">
        <v>733</v>
      </c>
      <c r="G67" s="24" t="e">
        <f t="shared" si="93"/>
        <v>#REF!</v>
      </c>
      <c r="H67" s="7" t="e">
        <f t="shared" ref="H67:K67" si="109">+#REF!</f>
        <v>#REF!</v>
      </c>
      <c r="I67" s="7" t="e">
        <f t="shared" si="109"/>
        <v>#REF!</v>
      </c>
      <c r="J67" s="7" t="e">
        <f t="shared" si="109"/>
        <v>#REF!</v>
      </c>
      <c r="K67" s="7" t="e">
        <f t="shared" si="109"/>
        <v>#REF!</v>
      </c>
      <c r="L67" s="112"/>
      <c r="M67" s="7">
        <f>+VACANTES!H79</f>
        <v>60</v>
      </c>
      <c r="N67" s="7">
        <f>+VACANTES!I79</f>
        <v>0</v>
      </c>
      <c r="O67" s="7">
        <f>+VACANTES!J79</f>
        <v>0</v>
      </c>
      <c r="P67" s="7">
        <f>+VACANTES!K79</f>
        <v>0</v>
      </c>
      <c r="Q67" s="7">
        <f>+VACANTES!L79</f>
        <v>0</v>
      </c>
      <c r="R67" s="7">
        <f>+VACANTES!N79</f>
        <v>60</v>
      </c>
      <c r="S67" s="2">
        <f t="shared" si="95"/>
        <v>60</v>
      </c>
      <c r="T67" s="2"/>
      <c r="U67" s="2"/>
      <c r="V67" s="2"/>
      <c r="W67" s="2"/>
      <c r="X67" s="2"/>
      <c r="Y67" s="2"/>
      <c r="Z67" s="2"/>
    </row>
    <row r="68" spans="1:26" ht="15.75" customHeight="1">
      <c r="A68" s="2" t="e">
        <f t="shared" ref="A68:E68" si="110">+#REF!</f>
        <v>#REF!</v>
      </c>
      <c r="B68" s="2" t="e">
        <f t="shared" si="110"/>
        <v>#REF!</v>
      </c>
      <c r="C68" s="2" t="e">
        <f t="shared" si="110"/>
        <v>#REF!</v>
      </c>
      <c r="D68" s="2" t="e">
        <f t="shared" si="110"/>
        <v>#REF!</v>
      </c>
      <c r="E68" s="2" t="e">
        <f t="shared" si="110"/>
        <v>#REF!</v>
      </c>
      <c r="F68" s="24" t="s">
        <v>720</v>
      </c>
      <c r="G68" s="24" t="e">
        <f t="shared" si="93"/>
        <v>#REF!</v>
      </c>
      <c r="H68" s="7" t="e">
        <f t="shared" ref="H68:K68" si="111">+#REF!</f>
        <v>#REF!</v>
      </c>
      <c r="I68" s="7" t="e">
        <f t="shared" si="111"/>
        <v>#REF!</v>
      </c>
      <c r="J68" s="7" t="e">
        <f t="shared" si="111"/>
        <v>#REF!</v>
      </c>
      <c r="K68" s="7" t="e">
        <f t="shared" si="111"/>
        <v>#REF!</v>
      </c>
      <c r="L68" s="112"/>
      <c r="M68" s="7">
        <f>+VACANTES!H80</f>
        <v>60</v>
      </c>
      <c r="N68" s="7">
        <f>+VACANTES!I80</f>
        <v>0</v>
      </c>
      <c r="O68" s="7">
        <f>+VACANTES!J80</f>
        <v>0</v>
      </c>
      <c r="P68" s="7">
        <f>+VACANTES!K80</f>
        <v>0</v>
      </c>
      <c r="Q68" s="7">
        <f>+VACANTES!L80</f>
        <v>0</v>
      </c>
      <c r="R68" s="7">
        <f>+VACANTES!N80</f>
        <v>60</v>
      </c>
      <c r="S68" s="2">
        <f t="shared" si="95"/>
        <v>60</v>
      </c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7"/>
      <c r="C69" s="7"/>
      <c r="D69" s="2"/>
      <c r="E69" s="24"/>
      <c r="F69" s="24"/>
      <c r="G69" s="24"/>
      <c r="H69" s="7"/>
      <c r="I69" s="7"/>
      <c r="J69" s="7"/>
      <c r="K69" s="7"/>
      <c r="L69" s="112"/>
      <c r="M69" s="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7"/>
      <c r="C70" s="7"/>
      <c r="D70" s="2" t="str">
        <f>IF(A70="","",VLOOKUP(MID(A70,1,7),#REF!,2,FALSE))</f>
        <v/>
      </c>
      <c r="E70" s="24"/>
      <c r="F70" s="24"/>
      <c r="G70" s="24" t="str">
        <f t="shared" ref="G70:G71" si="112">IF(D70="","",VLOOKUP(MID(A70,1,7),#REF!,3,FALSE))</f>
        <v/>
      </c>
      <c r="H70" s="7"/>
      <c r="I70" s="7"/>
      <c r="J70" s="7"/>
      <c r="K70" s="7"/>
      <c r="L70" s="112"/>
      <c r="M70" s="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33" t="s">
        <v>734</v>
      </c>
      <c r="B71" s="3"/>
      <c r="C71" s="14"/>
      <c r="D71" s="3"/>
      <c r="E71" s="24"/>
      <c r="F71" s="24"/>
      <c r="G71" s="24" t="str">
        <f t="shared" si="112"/>
        <v/>
      </c>
      <c r="H71" s="7"/>
      <c r="I71" s="7"/>
      <c r="J71" s="14"/>
      <c r="K71" s="14"/>
      <c r="L71" s="110"/>
      <c r="M71" s="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3" t="s">
        <v>11</v>
      </c>
      <c r="B72" s="14" t="s">
        <v>12</v>
      </c>
      <c r="C72" s="14" t="s">
        <v>724</v>
      </c>
      <c r="D72" s="3" t="s">
        <v>725</v>
      </c>
      <c r="E72" s="26" t="s">
        <v>726</v>
      </c>
      <c r="F72" s="26"/>
      <c r="G72" s="26" t="s">
        <v>16</v>
      </c>
      <c r="H72" s="14" t="s">
        <v>688</v>
      </c>
      <c r="I72" s="14" t="s">
        <v>681</v>
      </c>
      <c r="J72" s="14" t="s">
        <v>688</v>
      </c>
      <c r="K72" s="14" t="s">
        <v>681</v>
      </c>
      <c r="L72" s="110"/>
      <c r="M72" s="14" t="str">
        <f>+VACANTES!H84</f>
        <v>UA05</v>
      </c>
      <c r="N72" s="14" t="str">
        <f>+VACANTES!I84</f>
        <v>UA11</v>
      </c>
      <c r="O72" s="14" t="str">
        <f>+VACANTES!J84</f>
        <v>UA07</v>
      </c>
      <c r="P72" s="14" t="str">
        <f>+VACANTES!K84</f>
        <v>FG</v>
      </c>
      <c r="Q72" s="14" t="str">
        <f>+VACANTES!L84</f>
        <v>INTERC.</v>
      </c>
      <c r="R72" s="14" t="str">
        <f>+VACANTES!N84</f>
        <v>TOTAL</v>
      </c>
      <c r="S72" s="3" t="s">
        <v>22</v>
      </c>
      <c r="T72" s="2"/>
      <c r="U72" s="2"/>
      <c r="V72" s="2"/>
      <c r="W72" s="2"/>
      <c r="X72" s="2"/>
      <c r="Y72" s="2"/>
      <c r="Z72" s="2"/>
    </row>
    <row r="73" spans="1:26" ht="15.75" customHeight="1">
      <c r="A73" s="2" t="e">
        <f t="shared" ref="A73:E73" si="113">+#REF!</f>
        <v>#REF!</v>
      </c>
      <c r="B73" s="2" t="e">
        <f t="shared" si="113"/>
        <v>#REF!</v>
      </c>
      <c r="C73" s="2" t="e">
        <f t="shared" si="113"/>
        <v>#REF!</v>
      </c>
      <c r="D73" s="2" t="e">
        <f t="shared" si="113"/>
        <v>#REF!</v>
      </c>
      <c r="E73" s="2" t="e">
        <f t="shared" si="113"/>
        <v>#REF!</v>
      </c>
      <c r="F73" s="2" t="s">
        <v>735</v>
      </c>
      <c r="G73" s="24" t="e">
        <f t="shared" ref="G73:G81" si="114">IF(D73="","",VLOOKUP(MID(A73,1,7),#REF!,3,FALSE))</f>
        <v>#REF!</v>
      </c>
      <c r="H73" s="7" t="e">
        <f t="shared" ref="H73:K73" si="115">+#REF!</f>
        <v>#REF!</v>
      </c>
      <c r="I73" s="7" t="e">
        <f t="shared" si="115"/>
        <v>#REF!</v>
      </c>
      <c r="J73" s="7" t="e">
        <f t="shared" si="115"/>
        <v>#REF!</v>
      </c>
      <c r="K73" s="7" t="e">
        <f t="shared" si="115"/>
        <v>#REF!</v>
      </c>
      <c r="L73" s="112"/>
      <c r="M73" s="7">
        <f>+VACANTES!H85</f>
        <v>60</v>
      </c>
      <c r="N73" s="7">
        <f>+VACANTES!I85</f>
        <v>0</v>
      </c>
      <c r="O73" s="7">
        <f>+VACANTES!J85</f>
        <v>0</v>
      </c>
      <c r="P73" s="7">
        <f>+VACANTES!K85</f>
        <v>3</v>
      </c>
      <c r="Q73" s="7">
        <f>+VACANTES!L85</f>
        <v>0</v>
      </c>
      <c r="R73" s="7">
        <f>+VACANTES!N85</f>
        <v>63</v>
      </c>
      <c r="S73" s="2">
        <f t="shared" ref="S73:S81" si="116">+R73-Q73</f>
        <v>63</v>
      </c>
      <c r="T73" s="2"/>
      <c r="U73" s="2"/>
      <c r="V73" s="2"/>
      <c r="W73" s="2"/>
      <c r="X73" s="2"/>
      <c r="Y73" s="2"/>
      <c r="Z73" s="2"/>
    </row>
    <row r="74" spans="1:26" ht="15.75" customHeight="1">
      <c r="A74" s="2" t="e">
        <f t="shared" ref="A74:E74" si="117">+#REF!</f>
        <v>#REF!</v>
      </c>
      <c r="B74" s="2" t="e">
        <f t="shared" si="117"/>
        <v>#REF!</v>
      </c>
      <c r="C74" s="2" t="e">
        <f t="shared" si="117"/>
        <v>#REF!</v>
      </c>
      <c r="D74" s="2" t="e">
        <f t="shared" si="117"/>
        <v>#REF!</v>
      </c>
      <c r="E74" s="2" t="e">
        <f t="shared" si="117"/>
        <v>#REF!</v>
      </c>
      <c r="F74" s="2" t="s">
        <v>736</v>
      </c>
      <c r="G74" s="24" t="e">
        <f t="shared" si="114"/>
        <v>#REF!</v>
      </c>
      <c r="H74" s="7" t="e">
        <f t="shared" ref="H74:K74" si="118">+#REF!</f>
        <v>#REF!</v>
      </c>
      <c r="I74" s="7" t="e">
        <f t="shared" si="118"/>
        <v>#REF!</v>
      </c>
      <c r="J74" s="7" t="e">
        <f t="shared" si="118"/>
        <v>#REF!</v>
      </c>
      <c r="K74" s="7" t="e">
        <f t="shared" si="118"/>
        <v>#REF!</v>
      </c>
      <c r="L74" s="112"/>
      <c r="M74" s="7">
        <f>+VACANTES!H86</f>
        <v>35</v>
      </c>
      <c r="N74" s="7">
        <f>+VACANTES!I86</f>
        <v>0</v>
      </c>
      <c r="O74" s="7">
        <f>+VACANTES!J86</f>
        <v>0</v>
      </c>
      <c r="P74" s="7">
        <f>+VACANTES!K86</f>
        <v>5</v>
      </c>
      <c r="Q74" s="7">
        <f>+VACANTES!L86</f>
        <v>0</v>
      </c>
      <c r="R74" s="7">
        <f>+VACANTES!N86</f>
        <v>40</v>
      </c>
      <c r="S74" s="2">
        <f t="shared" si="116"/>
        <v>40</v>
      </c>
      <c r="T74" s="2"/>
      <c r="U74" s="2"/>
      <c r="V74" s="2"/>
      <c r="W74" s="2"/>
      <c r="X74" s="2"/>
      <c r="Y74" s="2"/>
      <c r="Z74" s="2"/>
    </row>
    <row r="75" spans="1:26" ht="15.75" customHeight="1">
      <c r="A75" s="2" t="e">
        <f t="shared" ref="A75:E75" si="119">+#REF!</f>
        <v>#REF!</v>
      </c>
      <c r="B75" s="2" t="e">
        <f t="shared" si="119"/>
        <v>#REF!</v>
      </c>
      <c r="C75" s="2" t="e">
        <f t="shared" si="119"/>
        <v>#REF!</v>
      </c>
      <c r="D75" s="2" t="e">
        <f t="shared" si="119"/>
        <v>#REF!</v>
      </c>
      <c r="E75" s="2" t="e">
        <f t="shared" si="119"/>
        <v>#REF!</v>
      </c>
      <c r="F75" s="2" t="s">
        <v>737</v>
      </c>
      <c r="G75" s="24" t="e">
        <f t="shared" si="114"/>
        <v>#REF!</v>
      </c>
      <c r="H75" s="7" t="e">
        <f t="shared" ref="H75:K75" si="120">+#REF!</f>
        <v>#REF!</v>
      </c>
      <c r="I75" s="7" t="e">
        <f t="shared" si="120"/>
        <v>#REF!</v>
      </c>
      <c r="J75" s="7" t="e">
        <f t="shared" si="120"/>
        <v>#REF!</v>
      </c>
      <c r="K75" s="7" t="e">
        <f t="shared" si="120"/>
        <v>#REF!</v>
      </c>
      <c r="L75" s="112"/>
      <c r="M75" s="7">
        <f>+VACANTES!H87</f>
        <v>28</v>
      </c>
      <c r="N75" s="7">
        <f>+VACANTES!I87</f>
        <v>0</v>
      </c>
      <c r="O75" s="7">
        <f>+VACANTES!J87</f>
        <v>0</v>
      </c>
      <c r="P75" s="7">
        <f>+VACANTES!K87</f>
        <v>2</v>
      </c>
      <c r="Q75" s="7">
        <f>+VACANTES!L87</f>
        <v>0</v>
      </c>
      <c r="R75" s="7">
        <f>+VACANTES!N87</f>
        <v>30</v>
      </c>
      <c r="S75" s="2">
        <f t="shared" si="116"/>
        <v>30</v>
      </c>
      <c r="T75" s="2"/>
      <c r="U75" s="2"/>
      <c r="V75" s="2"/>
      <c r="W75" s="2"/>
      <c r="X75" s="2"/>
      <c r="Y75" s="2"/>
      <c r="Z75" s="2"/>
    </row>
    <row r="76" spans="1:26" ht="15.75" customHeight="1">
      <c r="A76" s="2" t="e">
        <f t="shared" ref="A76:E76" si="121">+#REF!</f>
        <v>#REF!</v>
      </c>
      <c r="B76" s="2" t="e">
        <f t="shared" si="121"/>
        <v>#REF!</v>
      </c>
      <c r="C76" s="2" t="e">
        <f t="shared" si="121"/>
        <v>#REF!</v>
      </c>
      <c r="D76" s="2" t="e">
        <f t="shared" si="121"/>
        <v>#REF!</v>
      </c>
      <c r="E76" s="2" t="e">
        <f t="shared" si="121"/>
        <v>#REF!</v>
      </c>
      <c r="F76" s="2" t="str">
        <f>+F65</f>
        <v>7129878-7</v>
      </c>
      <c r="G76" s="24" t="e">
        <f t="shared" si="114"/>
        <v>#REF!</v>
      </c>
      <c r="H76" s="7" t="e">
        <f t="shared" ref="H76:K76" si="122">+#REF!</f>
        <v>#REF!</v>
      </c>
      <c r="I76" s="7" t="e">
        <f t="shared" si="122"/>
        <v>#REF!</v>
      </c>
      <c r="J76" s="7" t="e">
        <f t="shared" si="122"/>
        <v>#REF!</v>
      </c>
      <c r="K76" s="7" t="e">
        <f t="shared" si="122"/>
        <v>#REF!</v>
      </c>
      <c r="L76" s="112"/>
      <c r="M76" s="7">
        <f>+VACANTES!H88</f>
        <v>60</v>
      </c>
      <c r="N76" s="7">
        <f>+VACANTES!I88</f>
        <v>0</v>
      </c>
      <c r="O76" s="7">
        <f>+VACANTES!J88</f>
        <v>0</v>
      </c>
      <c r="P76" s="7">
        <f>+VACANTES!K88</f>
        <v>5</v>
      </c>
      <c r="Q76" s="7">
        <f>+VACANTES!L88</f>
        <v>0</v>
      </c>
      <c r="R76" s="7">
        <f>+VACANTES!N88</f>
        <v>65</v>
      </c>
      <c r="S76" s="2">
        <f t="shared" si="116"/>
        <v>65</v>
      </c>
      <c r="T76" s="2"/>
      <c r="U76" s="2"/>
      <c r="V76" s="2"/>
      <c r="W76" s="2"/>
      <c r="X76" s="2"/>
      <c r="Y76" s="2"/>
      <c r="Z76" s="2"/>
    </row>
    <row r="77" spans="1:26" ht="15.75" customHeight="1">
      <c r="A77" s="2" t="e">
        <f t="shared" ref="A77:E77" si="123">+#REF!</f>
        <v>#REF!</v>
      </c>
      <c r="B77" s="2" t="e">
        <f t="shared" si="123"/>
        <v>#REF!</v>
      </c>
      <c r="C77" s="2" t="e">
        <f t="shared" si="123"/>
        <v>#REF!</v>
      </c>
      <c r="D77" s="2" t="e">
        <f t="shared" si="123"/>
        <v>#REF!</v>
      </c>
      <c r="E77" s="2" t="e">
        <f t="shared" si="123"/>
        <v>#REF!</v>
      </c>
      <c r="F77" s="2" t="s">
        <v>738</v>
      </c>
      <c r="G77" s="24" t="e">
        <f t="shared" si="114"/>
        <v>#REF!</v>
      </c>
      <c r="H77" s="7" t="e">
        <f t="shared" ref="H77:K77" si="124">+#REF!</f>
        <v>#REF!</v>
      </c>
      <c r="I77" s="7" t="e">
        <f t="shared" si="124"/>
        <v>#REF!</v>
      </c>
      <c r="J77" s="7" t="e">
        <f t="shared" si="124"/>
        <v>#REF!</v>
      </c>
      <c r="K77" s="7" t="e">
        <f t="shared" si="124"/>
        <v>#REF!</v>
      </c>
      <c r="L77" s="112"/>
      <c r="M77" s="7">
        <f>+VACANTES!H89</f>
        <v>60</v>
      </c>
      <c r="N77" s="7">
        <f>+VACANTES!I89</f>
        <v>0</v>
      </c>
      <c r="O77" s="7">
        <f>+VACANTES!J89</f>
        <v>0</v>
      </c>
      <c r="P77" s="7">
        <f>+VACANTES!K89</f>
        <v>5</v>
      </c>
      <c r="Q77" s="7">
        <f>+VACANTES!L89</f>
        <v>10</v>
      </c>
      <c r="R77" s="7">
        <f>+VACANTES!N89</f>
        <v>75</v>
      </c>
      <c r="S77" s="2">
        <f t="shared" si="116"/>
        <v>65</v>
      </c>
      <c r="T77" s="2"/>
      <c r="U77" s="2"/>
      <c r="V77" s="2"/>
      <c r="W77" s="2"/>
      <c r="X77" s="2"/>
      <c r="Y77" s="2"/>
      <c r="Z77" s="2"/>
    </row>
    <row r="78" spans="1:26" ht="15.75" customHeight="1">
      <c r="A78" s="2" t="e">
        <f t="shared" ref="A78:E78" si="125">+#REF!</f>
        <v>#REF!</v>
      </c>
      <c r="B78" s="2" t="e">
        <f t="shared" si="125"/>
        <v>#REF!</v>
      </c>
      <c r="C78" s="2" t="e">
        <f t="shared" si="125"/>
        <v>#REF!</v>
      </c>
      <c r="D78" s="2" t="e">
        <f t="shared" si="125"/>
        <v>#REF!</v>
      </c>
      <c r="E78" s="2" t="e">
        <f t="shared" si="125"/>
        <v>#REF!</v>
      </c>
      <c r="F78" s="2" t="s">
        <v>739</v>
      </c>
      <c r="G78" s="24" t="e">
        <f t="shared" si="114"/>
        <v>#REF!</v>
      </c>
      <c r="H78" s="7" t="e">
        <f t="shared" ref="H78:K78" si="126">+#REF!</f>
        <v>#REF!</v>
      </c>
      <c r="I78" s="7" t="e">
        <f t="shared" si="126"/>
        <v>#REF!</v>
      </c>
      <c r="J78" s="7" t="e">
        <f t="shared" si="126"/>
        <v>#REF!</v>
      </c>
      <c r="K78" s="7" t="e">
        <f t="shared" si="126"/>
        <v>#REF!</v>
      </c>
      <c r="L78" s="112"/>
      <c r="M78" s="7">
        <f>+VACANTES!H90</f>
        <v>60</v>
      </c>
      <c r="N78" s="7">
        <f>+VACANTES!I90</f>
        <v>0</v>
      </c>
      <c r="O78" s="7">
        <f>+VACANTES!J90</f>
        <v>0</v>
      </c>
      <c r="P78" s="7">
        <f>+VACANTES!K90</f>
        <v>3</v>
      </c>
      <c r="Q78" s="7">
        <f>+VACANTES!L90</f>
        <v>2</v>
      </c>
      <c r="R78" s="7">
        <f>+VACANTES!N90</f>
        <v>65</v>
      </c>
      <c r="S78" s="2">
        <f t="shared" si="116"/>
        <v>63</v>
      </c>
      <c r="T78" s="2"/>
      <c r="U78" s="2"/>
      <c r="V78" s="2"/>
      <c r="W78" s="2"/>
      <c r="X78" s="2"/>
      <c r="Y78" s="2"/>
      <c r="Z78" s="2"/>
    </row>
    <row r="79" spans="1:26" ht="15.75" customHeight="1">
      <c r="A79" s="2" t="e">
        <f t="shared" ref="A79:E79" si="127">+#REF!</f>
        <v>#REF!</v>
      </c>
      <c r="B79" s="2" t="e">
        <f t="shared" si="127"/>
        <v>#REF!</v>
      </c>
      <c r="C79" s="2" t="e">
        <f t="shared" si="127"/>
        <v>#REF!</v>
      </c>
      <c r="D79" s="2" t="e">
        <f t="shared" si="127"/>
        <v>#REF!</v>
      </c>
      <c r="E79" s="2" t="e">
        <f t="shared" si="127"/>
        <v>#REF!</v>
      </c>
      <c r="F79" s="2" t="s">
        <v>740</v>
      </c>
      <c r="G79" s="24" t="e">
        <f t="shared" si="114"/>
        <v>#REF!</v>
      </c>
      <c r="H79" s="7" t="e">
        <f t="shared" ref="H79:K79" si="128">+#REF!</f>
        <v>#REF!</v>
      </c>
      <c r="I79" s="7" t="e">
        <f t="shared" si="128"/>
        <v>#REF!</v>
      </c>
      <c r="J79" s="7" t="e">
        <f t="shared" si="128"/>
        <v>#REF!</v>
      </c>
      <c r="K79" s="7" t="e">
        <f t="shared" si="128"/>
        <v>#REF!</v>
      </c>
      <c r="L79" s="112"/>
      <c r="M79" s="7">
        <f>+VACANTES!H91</f>
        <v>55</v>
      </c>
      <c r="N79" s="7">
        <f>+VACANTES!I91</f>
        <v>0</v>
      </c>
      <c r="O79" s="7">
        <f>+VACANTES!J91</f>
        <v>0</v>
      </c>
      <c r="P79" s="7">
        <f>+VACANTES!K91</f>
        <v>3</v>
      </c>
      <c r="Q79" s="7">
        <f>+VACANTES!L91</f>
        <v>2</v>
      </c>
      <c r="R79" s="7">
        <f>+VACANTES!N91</f>
        <v>60</v>
      </c>
      <c r="S79" s="2">
        <f t="shared" si="116"/>
        <v>58</v>
      </c>
      <c r="T79" s="2"/>
      <c r="U79" s="2"/>
      <c r="V79" s="2"/>
      <c r="W79" s="2"/>
      <c r="X79" s="2"/>
      <c r="Y79" s="2"/>
      <c r="Z79" s="2"/>
    </row>
    <row r="80" spans="1:26" ht="15.75" customHeight="1">
      <c r="A80" s="2" t="e">
        <f t="shared" ref="A80:D80" si="129">+#REF!</f>
        <v>#REF!</v>
      </c>
      <c r="B80" s="2" t="e">
        <f t="shared" si="129"/>
        <v>#REF!</v>
      </c>
      <c r="C80" s="2" t="e">
        <f t="shared" si="129"/>
        <v>#REF!</v>
      </c>
      <c r="D80" s="2" t="e">
        <f t="shared" si="129"/>
        <v>#REF!</v>
      </c>
      <c r="E80" s="2" t="s">
        <v>692</v>
      </c>
      <c r="F80" s="2"/>
      <c r="G80" s="24" t="e">
        <f t="shared" si="114"/>
        <v>#REF!</v>
      </c>
      <c r="H80" s="7" t="e">
        <f t="shared" ref="H80:K80" si="130">+#REF!</f>
        <v>#REF!</v>
      </c>
      <c r="I80" s="7" t="e">
        <f t="shared" si="130"/>
        <v>#REF!</v>
      </c>
      <c r="J80" s="7" t="e">
        <f t="shared" si="130"/>
        <v>#REF!</v>
      </c>
      <c r="K80" s="7" t="e">
        <f t="shared" si="130"/>
        <v>#REF!</v>
      </c>
      <c r="L80" s="112"/>
      <c r="M80" s="7">
        <f>+VACANTES!H92</f>
        <v>60</v>
      </c>
      <c r="N80" s="7">
        <f>+VACANTES!I92</f>
        <v>0</v>
      </c>
      <c r="O80" s="7">
        <f>+VACANTES!J92</f>
        <v>0</v>
      </c>
      <c r="P80" s="7">
        <f>+VACANTES!K92</f>
        <v>3</v>
      </c>
      <c r="Q80" s="7">
        <f>+VACANTES!L92</f>
        <v>2</v>
      </c>
      <c r="R80" s="7">
        <f>+VACANTES!N92</f>
        <v>65</v>
      </c>
      <c r="S80" s="2">
        <f t="shared" si="116"/>
        <v>63</v>
      </c>
      <c r="T80" s="2"/>
      <c r="U80" s="2"/>
      <c r="V80" s="2"/>
      <c r="W80" s="2"/>
      <c r="X80" s="2"/>
      <c r="Y80" s="2"/>
      <c r="Z80" s="2"/>
    </row>
    <row r="81" spans="1:26" ht="15.75" customHeight="1">
      <c r="A81" s="2" t="e">
        <f t="shared" ref="A81:E81" si="131">+#REF!</f>
        <v>#REF!</v>
      </c>
      <c r="B81" s="2" t="e">
        <f t="shared" si="131"/>
        <v>#REF!</v>
      </c>
      <c r="C81" s="2" t="e">
        <f t="shared" si="131"/>
        <v>#REF!</v>
      </c>
      <c r="D81" s="2" t="e">
        <f t="shared" si="131"/>
        <v>#REF!</v>
      </c>
      <c r="E81" s="2" t="e">
        <f t="shared" si="131"/>
        <v>#REF!</v>
      </c>
      <c r="F81" s="2" t="s">
        <v>741</v>
      </c>
      <c r="G81" s="24" t="e">
        <f t="shared" si="114"/>
        <v>#REF!</v>
      </c>
      <c r="H81" s="7" t="e">
        <f t="shared" ref="H81:K81" si="132">+#REF!</f>
        <v>#REF!</v>
      </c>
      <c r="I81" s="7" t="e">
        <f t="shared" si="132"/>
        <v>#REF!</v>
      </c>
      <c r="J81" s="7" t="e">
        <f t="shared" si="132"/>
        <v>#REF!</v>
      </c>
      <c r="K81" s="7" t="e">
        <f t="shared" si="132"/>
        <v>#REF!</v>
      </c>
      <c r="L81" s="112"/>
      <c r="M81" s="7">
        <f>+VACANTES!H93</f>
        <v>60</v>
      </c>
      <c r="N81" s="7">
        <f>+VACANTES!I93</f>
        <v>0</v>
      </c>
      <c r="O81" s="7">
        <f>+VACANTES!J93</f>
        <v>0</v>
      </c>
      <c r="P81" s="7">
        <f>+VACANTES!K93</f>
        <v>3</v>
      </c>
      <c r="Q81" s="7">
        <f>+VACANTES!L93</f>
        <v>2</v>
      </c>
      <c r="R81" s="7">
        <f>+VACANTES!N93</f>
        <v>65</v>
      </c>
      <c r="S81" s="2">
        <f t="shared" si="116"/>
        <v>63</v>
      </c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7"/>
      <c r="C82" s="7"/>
      <c r="D82" s="2"/>
      <c r="E82" s="24"/>
      <c r="F82" s="24"/>
      <c r="G82" s="24"/>
      <c r="H82" s="2"/>
      <c r="I82" s="2"/>
      <c r="J82" s="2"/>
      <c r="K82" s="2"/>
      <c r="L82" s="113"/>
      <c r="M82" s="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33" t="s">
        <v>742</v>
      </c>
      <c r="B83" s="14"/>
      <c r="C83" s="14"/>
      <c r="D83" s="3"/>
      <c r="E83" s="26"/>
      <c r="F83" s="26"/>
      <c r="G83" s="24" t="str">
        <f>IF(D83="","",VLOOKUP(MID(A83,1,7),#REF!,3,FALSE))</f>
        <v/>
      </c>
      <c r="H83" s="7"/>
      <c r="I83" s="7"/>
      <c r="J83" s="14"/>
      <c r="K83" s="14"/>
      <c r="L83" s="110"/>
      <c r="M83" s="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3" t="s">
        <v>11</v>
      </c>
      <c r="B84" s="14" t="s">
        <v>12</v>
      </c>
      <c r="C84" s="14" t="s">
        <v>724</v>
      </c>
      <c r="D84" s="3" t="s">
        <v>725</v>
      </c>
      <c r="E84" s="26" t="s">
        <v>726</v>
      </c>
      <c r="F84" s="26"/>
      <c r="G84" s="26" t="s">
        <v>16</v>
      </c>
      <c r="H84" s="14" t="s">
        <v>688</v>
      </c>
      <c r="I84" s="14" t="s">
        <v>681</v>
      </c>
      <c r="J84" s="14" t="s">
        <v>688</v>
      </c>
      <c r="K84" s="14" t="s">
        <v>681</v>
      </c>
      <c r="L84" s="110"/>
      <c r="M84" s="14" t="str">
        <f>+VACANTES!I96</f>
        <v>UA01</v>
      </c>
      <c r="N84" s="14" t="str">
        <f>+VACANTES!J96</f>
        <v>UA10</v>
      </c>
      <c r="O84" s="14" t="str">
        <f>+VACANTES!K96</f>
        <v>FG</v>
      </c>
      <c r="P84" s="3" t="s">
        <v>22</v>
      </c>
      <c r="Q84" s="14" t="str">
        <f>+VACANTES!N96</f>
        <v>TOTAL</v>
      </c>
      <c r="R84" s="7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 t="e">
        <f t="shared" ref="A85:D85" si="133">+#REF!</f>
        <v>#REF!</v>
      </c>
      <c r="B85" s="2" t="e">
        <f t="shared" si="133"/>
        <v>#REF!</v>
      </c>
      <c r="C85" s="2" t="e">
        <f t="shared" si="133"/>
        <v>#REF!</v>
      </c>
      <c r="D85" s="2" t="e">
        <f t="shared" si="133"/>
        <v>#REF!</v>
      </c>
      <c r="E85" s="2" t="s">
        <v>743</v>
      </c>
      <c r="F85" s="2"/>
      <c r="G85" s="24" t="s">
        <v>744</v>
      </c>
      <c r="H85" s="7" t="e">
        <f t="shared" ref="H85:K85" si="134">+#REF!</f>
        <v>#REF!</v>
      </c>
      <c r="I85" s="7" t="e">
        <f t="shared" si="134"/>
        <v>#REF!</v>
      </c>
      <c r="J85" s="7" t="e">
        <f t="shared" si="134"/>
        <v>#REF!</v>
      </c>
      <c r="K85" s="7" t="e">
        <f t="shared" si="134"/>
        <v>#REF!</v>
      </c>
      <c r="L85" s="112"/>
      <c r="M85" s="7">
        <f>+VACANTES!I97</f>
        <v>50</v>
      </c>
      <c r="N85" s="7">
        <f>+VACANTES!J97</f>
        <v>4</v>
      </c>
      <c r="O85" s="7">
        <f>+VACANTES!K97</f>
        <v>4</v>
      </c>
      <c r="P85" s="7">
        <f t="shared" ref="P85:P88" si="135">SUM(M85:O85)</f>
        <v>58</v>
      </c>
      <c r="Q85" s="7">
        <f>+VACANTES!N97</f>
        <v>60</v>
      </c>
      <c r="R85" s="7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 t="e">
        <f t="shared" ref="A86:D86" si="136">+#REF!</f>
        <v>#REF!</v>
      </c>
      <c r="B86" s="2" t="e">
        <f t="shared" si="136"/>
        <v>#REF!</v>
      </c>
      <c r="C86" s="2" t="e">
        <f t="shared" si="136"/>
        <v>#REF!</v>
      </c>
      <c r="D86" s="2" t="e">
        <f t="shared" si="136"/>
        <v>#REF!</v>
      </c>
      <c r="E86" s="2" t="s">
        <v>692</v>
      </c>
      <c r="F86" s="24"/>
      <c r="G86" s="24" t="s">
        <v>745</v>
      </c>
      <c r="H86" s="7" t="e">
        <f t="shared" ref="H86:K86" si="137">+#REF!</f>
        <v>#REF!</v>
      </c>
      <c r="I86" s="7" t="e">
        <f t="shared" si="137"/>
        <v>#REF!</v>
      </c>
      <c r="J86" s="7" t="e">
        <f t="shared" si="137"/>
        <v>#REF!</v>
      </c>
      <c r="K86" s="7" t="e">
        <f t="shared" si="137"/>
        <v>#REF!</v>
      </c>
      <c r="L86" s="112"/>
      <c r="M86" s="7">
        <f>+VACANTES!I98</f>
        <v>50</v>
      </c>
      <c r="N86" s="7">
        <f>+VACANTES!J98</f>
        <v>4</v>
      </c>
      <c r="O86" s="7">
        <f>+VACANTES!K98</f>
        <v>4</v>
      </c>
      <c r="P86" s="7">
        <f t="shared" si="135"/>
        <v>58</v>
      </c>
      <c r="Q86" s="7">
        <f>+VACANTES!N98</f>
        <v>60</v>
      </c>
      <c r="R86" s="7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 t="e">
        <f t="shared" ref="A87:E87" si="138">+#REF!</f>
        <v>#REF!</v>
      </c>
      <c r="B87" s="2" t="e">
        <f t="shared" si="138"/>
        <v>#REF!</v>
      </c>
      <c r="C87" s="2" t="e">
        <f t="shared" si="138"/>
        <v>#REF!</v>
      </c>
      <c r="D87" s="2" t="e">
        <f t="shared" si="138"/>
        <v>#REF!</v>
      </c>
      <c r="E87" s="2" t="e">
        <f t="shared" si="138"/>
        <v>#REF!</v>
      </c>
      <c r="F87" s="2"/>
      <c r="G87" s="24" t="e">
        <f t="shared" ref="G87:G88" si="139">IF(D87="","",VLOOKUP(MID(A87,1,7),#REF!,3,FALSE))</f>
        <v>#REF!</v>
      </c>
      <c r="H87" s="7" t="e">
        <f t="shared" ref="H87:K87" si="140">+#REF!</f>
        <v>#REF!</v>
      </c>
      <c r="I87" s="7" t="e">
        <f t="shared" si="140"/>
        <v>#REF!</v>
      </c>
      <c r="J87" s="7" t="e">
        <f t="shared" si="140"/>
        <v>#REF!</v>
      </c>
      <c r="K87" s="7" t="e">
        <f t="shared" si="140"/>
        <v>#REF!</v>
      </c>
      <c r="L87" s="112"/>
      <c r="M87" s="7">
        <f>+VACANTES!I99</f>
        <v>20</v>
      </c>
      <c r="N87" s="7">
        <f>+VACANTES!J99</f>
        <v>0</v>
      </c>
      <c r="O87" s="7">
        <f>+VACANTES!K99</f>
        <v>5</v>
      </c>
      <c r="P87" s="7">
        <f t="shared" si="135"/>
        <v>25</v>
      </c>
      <c r="Q87" s="7">
        <f>+VACANTES!N99</f>
        <v>30</v>
      </c>
      <c r="R87" s="7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 t="e">
        <f t="shared" ref="A88:E88" si="141">+#REF!</f>
        <v>#REF!</v>
      </c>
      <c r="B88" s="2" t="e">
        <f t="shared" si="141"/>
        <v>#REF!</v>
      </c>
      <c r="C88" s="2" t="e">
        <f t="shared" si="141"/>
        <v>#REF!</v>
      </c>
      <c r="D88" s="2" t="e">
        <f t="shared" si="141"/>
        <v>#REF!</v>
      </c>
      <c r="E88" s="2" t="e">
        <f t="shared" si="141"/>
        <v>#REF!</v>
      </c>
      <c r="F88" s="2"/>
      <c r="G88" s="24" t="e">
        <f t="shared" si="139"/>
        <v>#REF!</v>
      </c>
      <c r="H88" s="7" t="e">
        <f t="shared" ref="H88:K88" si="142">+#REF!</f>
        <v>#REF!</v>
      </c>
      <c r="I88" s="7" t="e">
        <f t="shared" si="142"/>
        <v>#REF!</v>
      </c>
      <c r="J88" s="7" t="e">
        <f t="shared" si="142"/>
        <v>#REF!</v>
      </c>
      <c r="K88" s="7" t="e">
        <f t="shared" si="142"/>
        <v>#REF!</v>
      </c>
      <c r="L88" s="112"/>
      <c r="M88" s="7">
        <f>+VACANTES!I101</f>
        <v>0</v>
      </c>
      <c r="N88" s="7">
        <f>+VACANTES!J101</f>
        <v>0</v>
      </c>
      <c r="O88" s="7">
        <f>+VACANTES!K101</f>
        <v>0</v>
      </c>
      <c r="P88" s="7">
        <f t="shared" si="135"/>
        <v>0</v>
      </c>
      <c r="Q88" s="7">
        <f>+VACANTES!N101</f>
        <v>0</v>
      </c>
      <c r="R88" s="7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7"/>
      <c r="C89" s="7"/>
      <c r="D89" s="2"/>
      <c r="E89" s="2"/>
      <c r="F89" s="2"/>
      <c r="G89" s="24"/>
      <c r="H89" s="7"/>
      <c r="I89" s="7"/>
      <c r="J89" s="7"/>
      <c r="K89" s="7"/>
      <c r="L89" s="112"/>
      <c r="M89" s="7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7"/>
      <c r="C90" s="7"/>
      <c r="D90" s="2"/>
      <c r="E90" s="2"/>
      <c r="F90" s="2"/>
      <c r="G90" s="24"/>
      <c r="H90" s="7"/>
      <c r="I90" s="7"/>
      <c r="J90" s="7"/>
      <c r="K90" s="7"/>
      <c r="L90" s="112"/>
      <c r="M90" s="7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7"/>
      <c r="C91" s="7"/>
      <c r="D91" s="2"/>
      <c r="E91" s="444" t="s">
        <v>675</v>
      </c>
      <c r="F91" s="404"/>
      <c r="G91" s="24"/>
      <c r="H91" s="7"/>
      <c r="I91" s="7"/>
      <c r="J91" s="7"/>
      <c r="K91" s="7"/>
      <c r="L91" s="112"/>
      <c r="M91" s="7"/>
      <c r="N91" s="7"/>
      <c r="O91" s="7"/>
      <c r="P91" s="7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7"/>
      <c r="C92" s="7"/>
      <c r="D92" s="2"/>
      <c r="E92" s="444" t="s">
        <v>746</v>
      </c>
      <c r="F92" s="404"/>
      <c r="G92" s="24"/>
      <c r="H92" s="7"/>
      <c r="I92" s="7"/>
      <c r="J92" s="7"/>
      <c r="K92" s="7"/>
      <c r="L92" s="112"/>
      <c r="M92" s="7"/>
      <c r="N92" s="7"/>
      <c r="O92" s="7"/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7"/>
      <c r="C93" s="7"/>
      <c r="D93" s="2"/>
      <c r="E93" s="444" t="s">
        <v>747</v>
      </c>
      <c r="F93" s="404"/>
      <c r="G93" s="24"/>
      <c r="H93" s="7"/>
      <c r="I93" s="7"/>
      <c r="J93" s="7"/>
      <c r="K93" s="7"/>
      <c r="L93" s="112"/>
      <c r="M93" s="7"/>
      <c r="N93" s="7"/>
      <c r="O93" s="7"/>
      <c r="P93" s="7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3"/>
      <c r="B94" s="14"/>
      <c r="C94" s="14"/>
      <c r="D94" s="3"/>
      <c r="E94" s="26"/>
      <c r="F94" s="26"/>
      <c r="G94" s="24" t="str">
        <f t="shared" ref="G94:G97" si="143">IF(D94="","",VLOOKUP(MID(A94,1,7),#REF!,3,FALSE))</f>
        <v/>
      </c>
      <c r="H94" s="7"/>
      <c r="I94" s="7"/>
      <c r="J94" s="14"/>
      <c r="K94" s="14"/>
      <c r="L94" s="110"/>
      <c r="M94" s="7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7"/>
      <c r="C95" s="7"/>
      <c r="D95" s="7"/>
      <c r="E95" s="7"/>
      <c r="F95" s="7"/>
      <c r="G95" s="24" t="str">
        <f t="shared" si="143"/>
        <v/>
      </c>
      <c r="H95" s="7"/>
      <c r="I95" s="7"/>
      <c r="J95" s="7"/>
      <c r="K95" s="7"/>
      <c r="L95" s="112"/>
      <c r="M95" s="7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14" t="s">
        <v>6</v>
      </c>
      <c r="B96" s="3"/>
      <c r="C96" s="14"/>
      <c r="D96" s="3"/>
      <c r="E96" s="3"/>
      <c r="F96" s="3"/>
      <c r="G96" s="24" t="str">
        <f t="shared" si="143"/>
        <v/>
      </c>
      <c r="H96" s="7"/>
      <c r="I96" s="7"/>
      <c r="J96" s="14"/>
      <c r="K96" s="14"/>
      <c r="L96" s="110"/>
      <c r="M96" s="7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14"/>
      <c r="B97" s="3"/>
      <c r="C97" s="14"/>
      <c r="D97" s="3"/>
      <c r="E97" s="3"/>
      <c r="F97" s="3"/>
      <c r="G97" s="24" t="str">
        <f t="shared" si="143"/>
        <v/>
      </c>
      <c r="H97" s="445" t="s">
        <v>7</v>
      </c>
      <c r="I97" s="404"/>
      <c r="J97" s="445" t="s">
        <v>8</v>
      </c>
      <c r="K97" s="404"/>
      <c r="L97" s="110"/>
      <c r="M97" s="1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3" t="s">
        <v>11</v>
      </c>
      <c r="B98" s="14" t="s">
        <v>12</v>
      </c>
      <c r="C98" s="14" t="s">
        <v>13</v>
      </c>
      <c r="D98" s="3" t="s">
        <v>14</v>
      </c>
      <c r="E98" s="3" t="s">
        <v>15</v>
      </c>
      <c r="F98" s="3"/>
      <c r="G98" s="26" t="s">
        <v>16</v>
      </c>
      <c r="H98" s="14" t="s">
        <v>688</v>
      </c>
      <c r="I98" s="14" t="s">
        <v>681</v>
      </c>
      <c r="J98" s="14" t="s">
        <v>688</v>
      </c>
      <c r="K98" s="14" t="s">
        <v>681</v>
      </c>
      <c r="L98" s="110"/>
      <c r="M98" s="14" t="str">
        <f>+VACANTES!H105</f>
        <v>UA05</v>
      </c>
      <c r="N98" s="14" t="str">
        <f>+VACANTES!I105</f>
        <v>UA11</v>
      </c>
      <c r="O98" s="14" t="str">
        <f>+VACANTES!J105</f>
        <v>UA07</v>
      </c>
      <c r="P98" s="14" t="str">
        <f>+VACANTES!K105</f>
        <v>FG</v>
      </c>
      <c r="Q98" s="14" t="str">
        <f>+VACANTES!L105</f>
        <v>INTERC.</v>
      </c>
      <c r="R98" s="14" t="str">
        <f>+VACANTES!N105</f>
        <v>TOTAL</v>
      </c>
      <c r="S98" s="3" t="s">
        <v>22</v>
      </c>
      <c r="T98" s="2"/>
      <c r="U98" s="2"/>
      <c r="V98" s="2"/>
      <c r="W98" s="2"/>
      <c r="X98" s="2"/>
      <c r="Y98" s="2"/>
      <c r="Z98" s="2"/>
    </row>
    <row r="99" spans="1:26" ht="15.75" customHeight="1">
      <c r="A99" s="2" t="e">
        <f t="shared" ref="A99:E99" si="144">+#REF!</f>
        <v>#REF!</v>
      </c>
      <c r="B99" s="2" t="e">
        <f t="shared" si="144"/>
        <v>#REF!</v>
      </c>
      <c r="C99" s="2" t="e">
        <f t="shared" si="144"/>
        <v>#REF!</v>
      </c>
      <c r="D99" s="2" t="e">
        <f t="shared" si="144"/>
        <v>#REF!</v>
      </c>
      <c r="E99" s="2" t="e">
        <f t="shared" si="144"/>
        <v>#REF!</v>
      </c>
      <c r="F99" s="24" t="s">
        <v>748</v>
      </c>
      <c r="G99" s="24" t="e">
        <f t="shared" ref="G99:G101" si="145">IF(D99="","",VLOOKUP(MID(A99,1,7),#REF!,3,FALSE))</f>
        <v>#REF!</v>
      </c>
      <c r="H99" s="7" t="e">
        <f t="shared" ref="H99:K99" si="146">+#REF!</f>
        <v>#REF!</v>
      </c>
      <c r="I99" s="7" t="e">
        <f t="shared" si="146"/>
        <v>#REF!</v>
      </c>
      <c r="J99" s="7" t="e">
        <f t="shared" si="146"/>
        <v>#REF!</v>
      </c>
      <c r="K99" s="7" t="e">
        <f t="shared" si="146"/>
        <v>#REF!</v>
      </c>
      <c r="L99" s="112"/>
      <c r="M99" s="7">
        <f>+VACANTES!H106</f>
        <v>60</v>
      </c>
      <c r="N99" s="7">
        <f>+VACANTES!I106</f>
        <v>0</v>
      </c>
      <c r="O99" s="7">
        <f>+VACANTES!J106</f>
        <v>0</v>
      </c>
      <c r="P99" s="7">
        <f>+VACANTES!K106</f>
        <v>10</v>
      </c>
      <c r="Q99" s="7">
        <f>+VACANTES!L106</f>
        <v>5</v>
      </c>
      <c r="R99" s="7">
        <f>+VACANTES!N106</f>
        <v>75</v>
      </c>
      <c r="S99" s="2">
        <f t="shared" ref="S99:S126" si="147">+R99-Q99</f>
        <v>70</v>
      </c>
      <c r="T99" s="2"/>
      <c r="U99" s="2"/>
      <c r="V99" s="2"/>
      <c r="W99" s="2"/>
      <c r="X99" s="2"/>
      <c r="Y99" s="2"/>
      <c r="Z99" s="2"/>
    </row>
    <row r="100" spans="1:26" ht="15.75" customHeight="1">
      <c r="A100" s="2" t="e">
        <f t="shared" ref="A100:E100" si="148">+#REF!</f>
        <v>#REF!</v>
      </c>
      <c r="B100" s="2" t="e">
        <f t="shared" si="148"/>
        <v>#REF!</v>
      </c>
      <c r="C100" s="2" t="e">
        <f t="shared" si="148"/>
        <v>#REF!</v>
      </c>
      <c r="D100" s="2" t="e">
        <f t="shared" si="148"/>
        <v>#REF!</v>
      </c>
      <c r="E100" s="2" t="e">
        <f t="shared" si="148"/>
        <v>#REF!</v>
      </c>
      <c r="F100" s="2" t="str">
        <f>+F101</f>
        <v>2929447-K</v>
      </c>
      <c r="G100" s="24" t="e">
        <f t="shared" si="145"/>
        <v>#REF!</v>
      </c>
      <c r="H100" s="7" t="e">
        <f t="shared" ref="H100:K100" si="149">+#REF!</f>
        <v>#REF!</v>
      </c>
      <c r="I100" s="7" t="e">
        <f t="shared" si="149"/>
        <v>#REF!</v>
      </c>
      <c r="J100" s="7" t="e">
        <f t="shared" si="149"/>
        <v>#REF!</v>
      </c>
      <c r="K100" s="7" t="e">
        <f t="shared" si="149"/>
        <v>#REF!</v>
      </c>
      <c r="L100" s="112"/>
      <c r="M100" s="7">
        <f>+VACANTES!H107</f>
        <v>55</v>
      </c>
      <c r="N100" s="7">
        <f>+VACANTES!I107</f>
        <v>6</v>
      </c>
      <c r="O100" s="7">
        <f>+VACANTES!J107</f>
        <v>11</v>
      </c>
      <c r="P100" s="7">
        <f>+VACANTES!K107</f>
        <v>4</v>
      </c>
      <c r="Q100" s="7">
        <f>+VACANTES!L107</f>
        <v>2</v>
      </c>
      <c r="R100" s="7">
        <f>+VACANTES!N107</f>
        <v>78</v>
      </c>
      <c r="S100" s="2">
        <f t="shared" si="147"/>
        <v>76</v>
      </c>
      <c r="T100" s="2"/>
      <c r="U100" s="2"/>
      <c r="V100" s="2"/>
      <c r="W100" s="2"/>
      <c r="X100" s="2"/>
      <c r="Y100" s="2"/>
      <c r="Z100" s="2"/>
    </row>
    <row r="101" spans="1:26" ht="15.75" customHeight="1">
      <c r="A101" s="2" t="e">
        <f t="shared" ref="A101:E101" si="150">+#REF!</f>
        <v>#REF!</v>
      </c>
      <c r="B101" s="2" t="e">
        <f t="shared" si="150"/>
        <v>#REF!</v>
      </c>
      <c r="C101" s="2" t="e">
        <f t="shared" si="150"/>
        <v>#REF!</v>
      </c>
      <c r="D101" s="2" t="e">
        <f t="shared" si="150"/>
        <v>#REF!</v>
      </c>
      <c r="E101" s="2" t="e">
        <f t="shared" si="150"/>
        <v>#REF!</v>
      </c>
      <c r="F101" s="24" t="s">
        <v>749</v>
      </c>
      <c r="G101" s="24" t="e">
        <f t="shared" si="145"/>
        <v>#REF!</v>
      </c>
      <c r="H101" s="7" t="e">
        <f t="shared" ref="H101:K101" si="151">+#REF!</f>
        <v>#REF!</v>
      </c>
      <c r="I101" s="7" t="e">
        <f t="shared" si="151"/>
        <v>#REF!</v>
      </c>
      <c r="J101" s="7" t="e">
        <f t="shared" si="151"/>
        <v>#REF!</v>
      </c>
      <c r="K101" s="7" t="e">
        <f t="shared" si="151"/>
        <v>#REF!</v>
      </c>
      <c r="L101" s="112"/>
      <c r="M101" s="7">
        <f>+VACANTES!H108</f>
        <v>55</v>
      </c>
      <c r="N101" s="7">
        <f>+VACANTES!I108</f>
        <v>6</v>
      </c>
      <c r="O101" s="7">
        <f>+VACANTES!J108</f>
        <v>11</v>
      </c>
      <c r="P101" s="7">
        <f>+VACANTES!K108</f>
        <v>4</v>
      </c>
      <c r="Q101" s="7">
        <f>+VACANTES!L108</f>
        <v>2</v>
      </c>
      <c r="R101" s="7">
        <f>+VACANTES!N108</f>
        <v>78</v>
      </c>
      <c r="S101" s="2">
        <f t="shared" si="147"/>
        <v>76</v>
      </c>
      <c r="T101" s="2"/>
      <c r="U101" s="2"/>
      <c r="V101" s="2"/>
      <c r="W101" s="2"/>
      <c r="X101" s="2"/>
      <c r="Y101" s="2"/>
      <c r="Z101" s="2"/>
    </row>
    <row r="102" spans="1:26" ht="15.75" customHeight="1">
      <c r="A102" s="2" t="e">
        <f t="shared" ref="A102:E102" si="152">+#REF!</f>
        <v>#REF!</v>
      </c>
      <c r="B102" s="2" t="e">
        <f t="shared" si="152"/>
        <v>#REF!</v>
      </c>
      <c r="C102" s="2" t="e">
        <f t="shared" si="152"/>
        <v>#REF!</v>
      </c>
      <c r="D102" s="2" t="e">
        <f t="shared" si="152"/>
        <v>#REF!</v>
      </c>
      <c r="E102" s="2" t="e">
        <f t="shared" si="152"/>
        <v>#REF!</v>
      </c>
      <c r="F102" s="2" t="s">
        <v>750</v>
      </c>
      <c r="G102" s="24" t="e">
        <f t="shared" ref="G102:G103" si="153">IF(D101="","",VLOOKUP(MID(A101,1,7),#REF!,3,FALSE))</f>
        <v>#REF!</v>
      </c>
      <c r="H102" s="7" t="e">
        <f t="shared" ref="H102:K102" si="154">+#REF!</f>
        <v>#REF!</v>
      </c>
      <c r="I102" s="7" t="e">
        <f t="shared" si="154"/>
        <v>#REF!</v>
      </c>
      <c r="J102" s="7" t="e">
        <f t="shared" si="154"/>
        <v>#REF!</v>
      </c>
      <c r="K102" s="7" t="e">
        <f t="shared" si="154"/>
        <v>#REF!</v>
      </c>
      <c r="L102" s="112"/>
      <c r="M102" s="7">
        <f>+VACANTES!H109</f>
        <v>55</v>
      </c>
      <c r="N102" s="7">
        <f>+VACANTES!I109</f>
        <v>6</v>
      </c>
      <c r="O102" s="7">
        <f>+VACANTES!J109</f>
        <v>11</v>
      </c>
      <c r="P102" s="7">
        <f>+VACANTES!K109</f>
        <v>4</v>
      </c>
      <c r="Q102" s="7">
        <f>+VACANTES!L109</f>
        <v>2</v>
      </c>
      <c r="R102" s="7">
        <f>+VACANTES!N109</f>
        <v>78</v>
      </c>
      <c r="S102" s="2">
        <f t="shared" si="147"/>
        <v>76</v>
      </c>
      <c r="T102" s="2"/>
      <c r="U102" s="2"/>
      <c r="V102" s="2"/>
      <c r="W102" s="2"/>
      <c r="X102" s="2"/>
      <c r="Y102" s="2"/>
      <c r="Z102" s="2"/>
    </row>
    <row r="103" spans="1:26" ht="15.75" customHeight="1">
      <c r="A103" s="2" t="e">
        <f t="shared" ref="A103:E103" si="155">+#REF!</f>
        <v>#REF!</v>
      </c>
      <c r="B103" s="2" t="e">
        <f t="shared" si="155"/>
        <v>#REF!</v>
      </c>
      <c r="C103" s="2" t="e">
        <f t="shared" si="155"/>
        <v>#REF!</v>
      </c>
      <c r="D103" s="2" t="e">
        <f t="shared" si="155"/>
        <v>#REF!</v>
      </c>
      <c r="E103" s="2" t="e">
        <f t="shared" si="155"/>
        <v>#REF!</v>
      </c>
      <c r="F103" s="2" t="s">
        <v>751</v>
      </c>
      <c r="G103" s="24" t="e">
        <f t="shared" si="153"/>
        <v>#REF!</v>
      </c>
      <c r="H103" s="7" t="e">
        <f t="shared" ref="H103:K103" si="156">+#REF!</f>
        <v>#REF!</v>
      </c>
      <c r="I103" s="7" t="e">
        <f t="shared" si="156"/>
        <v>#REF!</v>
      </c>
      <c r="J103" s="7" t="e">
        <f t="shared" si="156"/>
        <v>#REF!</v>
      </c>
      <c r="K103" s="7" t="e">
        <f t="shared" si="156"/>
        <v>#REF!</v>
      </c>
      <c r="L103" s="112"/>
      <c r="M103" s="7">
        <f>+VACANTES!H110</f>
        <v>55</v>
      </c>
      <c r="N103" s="7">
        <f>+VACANTES!I110</f>
        <v>6</v>
      </c>
      <c r="O103" s="7">
        <f>+VACANTES!J110</f>
        <v>11</v>
      </c>
      <c r="P103" s="7">
        <f>+VACANTES!K110</f>
        <v>4</v>
      </c>
      <c r="Q103" s="7">
        <f>+VACANTES!L110</f>
        <v>2</v>
      </c>
      <c r="R103" s="7">
        <f>+VACANTES!N110</f>
        <v>78</v>
      </c>
      <c r="S103" s="2">
        <f t="shared" si="147"/>
        <v>76</v>
      </c>
      <c r="T103" s="2"/>
      <c r="U103" s="2"/>
      <c r="V103" s="2"/>
      <c r="W103" s="2"/>
      <c r="X103" s="2"/>
      <c r="Y103" s="2"/>
      <c r="Z103" s="2"/>
    </row>
    <row r="104" spans="1:26" ht="15.75" customHeight="1">
      <c r="A104" s="2" t="e">
        <f t="shared" ref="A104:E104" si="157">+#REF!</f>
        <v>#REF!</v>
      </c>
      <c r="B104" s="2" t="e">
        <f t="shared" si="157"/>
        <v>#REF!</v>
      </c>
      <c r="C104" s="2" t="e">
        <f t="shared" si="157"/>
        <v>#REF!</v>
      </c>
      <c r="D104" s="2" t="e">
        <f t="shared" si="157"/>
        <v>#REF!</v>
      </c>
      <c r="E104" s="2" t="e">
        <f t="shared" si="157"/>
        <v>#REF!</v>
      </c>
      <c r="F104" s="2" t="s">
        <v>752</v>
      </c>
      <c r="G104" s="24" t="e">
        <f t="shared" ref="G104:G129" si="158">IF(D104="","",VLOOKUP(MID(A104,1,7),#REF!,3,FALSE))</f>
        <v>#REF!</v>
      </c>
      <c r="H104" s="7" t="e">
        <f t="shared" ref="H104:K104" si="159">+#REF!</f>
        <v>#REF!</v>
      </c>
      <c r="I104" s="7" t="e">
        <f t="shared" si="159"/>
        <v>#REF!</v>
      </c>
      <c r="J104" s="7" t="e">
        <f t="shared" si="159"/>
        <v>#REF!</v>
      </c>
      <c r="K104" s="7" t="e">
        <f t="shared" si="159"/>
        <v>#REF!</v>
      </c>
      <c r="L104" s="112"/>
      <c r="M104" s="7">
        <f>+VACANTES!H111</f>
        <v>55</v>
      </c>
      <c r="N104" s="7">
        <f>+VACANTES!I111</f>
        <v>6</v>
      </c>
      <c r="O104" s="7">
        <f>+VACANTES!J111</f>
        <v>11</v>
      </c>
      <c r="P104" s="7">
        <f>+VACANTES!K111</f>
        <v>4</v>
      </c>
      <c r="Q104" s="7">
        <f>+VACANTES!L111</f>
        <v>2</v>
      </c>
      <c r="R104" s="7">
        <f>+VACANTES!N111</f>
        <v>78</v>
      </c>
      <c r="S104" s="2">
        <f t="shared" si="147"/>
        <v>76</v>
      </c>
      <c r="T104" s="2"/>
      <c r="U104" s="2"/>
      <c r="V104" s="2"/>
      <c r="W104" s="2"/>
      <c r="X104" s="2"/>
      <c r="Y104" s="2"/>
      <c r="Z104" s="2"/>
    </row>
    <row r="105" spans="1:26" ht="15.75" customHeight="1">
      <c r="A105" s="2" t="e">
        <f t="shared" ref="A105:E105" si="160">+#REF!</f>
        <v>#REF!</v>
      </c>
      <c r="B105" s="2" t="e">
        <f t="shared" si="160"/>
        <v>#REF!</v>
      </c>
      <c r="C105" s="2" t="e">
        <f t="shared" si="160"/>
        <v>#REF!</v>
      </c>
      <c r="D105" s="2" t="e">
        <f t="shared" si="160"/>
        <v>#REF!</v>
      </c>
      <c r="E105" s="2" t="e">
        <f t="shared" si="160"/>
        <v>#REF!</v>
      </c>
      <c r="F105" s="2" t="s">
        <v>753</v>
      </c>
      <c r="G105" s="24" t="e">
        <f t="shared" si="158"/>
        <v>#REF!</v>
      </c>
      <c r="H105" s="7" t="e">
        <f t="shared" ref="H105:K105" si="161">+#REF!</f>
        <v>#REF!</v>
      </c>
      <c r="I105" s="7" t="e">
        <f t="shared" si="161"/>
        <v>#REF!</v>
      </c>
      <c r="J105" s="7" t="e">
        <f t="shared" si="161"/>
        <v>#REF!</v>
      </c>
      <c r="K105" s="7" t="e">
        <f t="shared" si="161"/>
        <v>#REF!</v>
      </c>
      <c r="L105" s="112"/>
      <c r="M105" s="7">
        <f>+VACANTES!H112</f>
        <v>45</v>
      </c>
      <c r="N105" s="7">
        <f>+VACANTES!I112</f>
        <v>10</v>
      </c>
      <c r="O105" s="7">
        <f>+VACANTES!J112</f>
        <v>15</v>
      </c>
      <c r="P105" s="7">
        <f>+VACANTES!K112</f>
        <v>3</v>
      </c>
      <c r="Q105" s="7">
        <f>+VACANTES!L112</f>
        <v>2</v>
      </c>
      <c r="R105" s="7">
        <f>+VACANTES!N112</f>
        <v>80</v>
      </c>
      <c r="S105" s="2">
        <f t="shared" si="147"/>
        <v>78</v>
      </c>
      <c r="T105" s="2"/>
      <c r="U105" s="2"/>
      <c r="V105" s="2"/>
      <c r="W105" s="2"/>
      <c r="X105" s="2"/>
      <c r="Y105" s="2"/>
      <c r="Z105" s="2"/>
    </row>
    <row r="106" spans="1:26" ht="15.75" customHeight="1">
      <c r="A106" s="2" t="e">
        <f t="shared" ref="A106:E106" si="162">+#REF!</f>
        <v>#REF!</v>
      </c>
      <c r="B106" s="2" t="e">
        <f t="shared" si="162"/>
        <v>#REF!</v>
      </c>
      <c r="C106" s="2" t="e">
        <f t="shared" si="162"/>
        <v>#REF!</v>
      </c>
      <c r="D106" s="2" t="e">
        <f t="shared" si="162"/>
        <v>#REF!</v>
      </c>
      <c r="E106" s="2" t="e">
        <f t="shared" si="162"/>
        <v>#REF!</v>
      </c>
      <c r="F106" s="2" t="s">
        <v>754</v>
      </c>
      <c r="G106" s="24" t="e">
        <f t="shared" si="158"/>
        <v>#REF!</v>
      </c>
      <c r="H106" s="7" t="e">
        <f t="shared" ref="H106:K106" si="163">+#REF!</f>
        <v>#REF!</v>
      </c>
      <c r="I106" s="7" t="e">
        <f t="shared" si="163"/>
        <v>#REF!</v>
      </c>
      <c r="J106" s="7" t="e">
        <f t="shared" si="163"/>
        <v>#REF!</v>
      </c>
      <c r="K106" s="7" t="e">
        <f t="shared" si="163"/>
        <v>#REF!</v>
      </c>
      <c r="L106" s="112"/>
      <c r="M106" s="7">
        <f>+VACANTES!H113</f>
        <v>45</v>
      </c>
      <c r="N106" s="7">
        <f>+VACANTES!I113</f>
        <v>10</v>
      </c>
      <c r="O106" s="7">
        <f>+VACANTES!J113</f>
        <v>15</v>
      </c>
      <c r="P106" s="7">
        <f>+VACANTES!K113</f>
        <v>3</v>
      </c>
      <c r="Q106" s="7">
        <f>+VACANTES!L113</f>
        <v>2</v>
      </c>
      <c r="R106" s="7">
        <f>+VACANTES!N113</f>
        <v>80</v>
      </c>
      <c r="S106" s="2">
        <f t="shared" si="147"/>
        <v>78</v>
      </c>
      <c r="T106" s="2"/>
      <c r="U106" s="2"/>
      <c r="V106" s="2"/>
      <c r="W106" s="2"/>
      <c r="X106" s="2"/>
      <c r="Y106" s="2"/>
      <c r="Z106" s="2"/>
    </row>
    <row r="107" spans="1:26" ht="15.75" customHeight="1">
      <c r="A107" s="2" t="e">
        <f t="shared" ref="A107:E107" si="164">+#REF!</f>
        <v>#REF!</v>
      </c>
      <c r="B107" s="2" t="e">
        <f t="shared" si="164"/>
        <v>#REF!</v>
      </c>
      <c r="C107" s="2" t="e">
        <f t="shared" si="164"/>
        <v>#REF!</v>
      </c>
      <c r="D107" s="2" t="e">
        <f t="shared" si="164"/>
        <v>#REF!</v>
      </c>
      <c r="E107" s="2" t="e">
        <f t="shared" si="164"/>
        <v>#REF!</v>
      </c>
      <c r="F107" s="24" t="s">
        <v>755</v>
      </c>
      <c r="G107" s="24" t="e">
        <f t="shared" si="158"/>
        <v>#REF!</v>
      </c>
      <c r="H107" s="7" t="e">
        <f t="shared" ref="H107:K107" si="165">+#REF!</f>
        <v>#REF!</v>
      </c>
      <c r="I107" s="7" t="e">
        <f t="shared" si="165"/>
        <v>#REF!</v>
      </c>
      <c r="J107" s="7" t="e">
        <f t="shared" si="165"/>
        <v>#REF!</v>
      </c>
      <c r="K107" s="7" t="e">
        <f t="shared" si="165"/>
        <v>#REF!</v>
      </c>
      <c r="L107" s="112"/>
      <c r="M107" s="7">
        <f>+VACANTES!H114</f>
        <v>55</v>
      </c>
      <c r="N107" s="7">
        <f>+VACANTES!I114</f>
        <v>0</v>
      </c>
      <c r="O107" s="7">
        <f>+VACANTES!J114</f>
        <v>0</v>
      </c>
      <c r="P107" s="7">
        <f>+VACANTES!K114</f>
        <v>5</v>
      </c>
      <c r="Q107" s="7">
        <f>+VACANTES!L114</f>
        <v>0</v>
      </c>
      <c r="R107" s="7">
        <f>+VACANTES!N114</f>
        <v>60</v>
      </c>
      <c r="S107" s="2">
        <f t="shared" si="147"/>
        <v>60</v>
      </c>
      <c r="T107" s="2"/>
      <c r="U107" s="2"/>
      <c r="V107" s="2"/>
      <c r="W107" s="2"/>
      <c r="X107" s="2"/>
      <c r="Y107" s="2"/>
      <c r="Z107" s="2"/>
    </row>
    <row r="108" spans="1:26" ht="15.75" customHeight="1">
      <c r="A108" s="2" t="e">
        <f t="shared" ref="A108:E108" si="166">+#REF!</f>
        <v>#REF!</v>
      </c>
      <c r="B108" s="2" t="e">
        <f t="shared" si="166"/>
        <v>#REF!</v>
      </c>
      <c r="C108" s="2" t="e">
        <f t="shared" si="166"/>
        <v>#REF!</v>
      </c>
      <c r="D108" s="2" t="e">
        <f t="shared" si="166"/>
        <v>#REF!</v>
      </c>
      <c r="E108" s="2" t="e">
        <f t="shared" si="166"/>
        <v>#REF!</v>
      </c>
      <c r="F108" s="2" t="s">
        <v>756</v>
      </c>
      <c r="G108" s="24" t="e">
        <f t="shared" si="158"/>
        <v>#REF!</v>
      </c>
      <c r="H108" s="7" t="e">
        <f t="shared" ref="H108:K108" si="167">+#REF!</f>
        <v>#REF!</v>
      </c>
      <c r="I108" s="7" t="e">
        <f t="shared" si="167"/>
        <v>#REF!</v>
      </c>
      <c r="J108" s="7" t="e">
        <f t="shared" si="167"/>
        <v>#REF!</v>
      </c>
      <c r="K108" s="7" t="e">
        <f t="shared" si="167"/>
        <v>#REF!</v>
      </c>
      <c r="L108" s="112"/>
      <c r="M108" s="7">
        <f>+VACANTES!H115</f>
        <v>55</v>
      </c>
      <c r="N108" s="7">
        <f>+VACANTES!I115</f>
        <v>0</v>
      </c>
      <c r="O108" s="7">
        <f>+VACANTES!J115</f>
        <v>0</v>
      </c>
      <c r="P108" s="7">
        <f>+VACANTES!K115</f>
        <v>5</v>
      </c>
      <c r="Q108" s="7">
        <f>+VACANTES!L115</f>
        <v>0</v>
      </c>
      <c r="R108" s="7">
        <f>+VACANTES!N115</f>
        <v>60</v>
      </c>
      <c r="S108" s="2">
        <f t="shared" si="147"/>
        <v>60</v>
      </c>
      <c r="T108" s="2"/>
      <c r="U108" s="2"/>
      <c r="V108" s="2"/>
      <c r="W108" s="2"/>
      <c r="X108" s="2"/>
      <c r="Y108" s="2"/>
      <c r="Z108" s="2"/>
    </row>
    <row r="109" spans="1:26" ht="15.75" customHeight="1">
      <c r="A109" s="2" t="e">
        <f t="shared" ref="A109:E109" si="168">+#REF!</f>
        <v>#REF!</v>
      </c>
      <c r="B109" s="2" t="e">
        <f t="shared" si="168"/>
        <v>#REF!</v>
      </c>
      <c r="C109" s="2" t="e">
        <f t="shared" si="168"/>
        <v>#REF!</v>
      </c>
      <c r="D109" s="2" t="e">
        <f t="shared" si="168"/>
        <v>#REF!</v>
      </c>
      <c r="E109" s="2" t="e">
        <f t="shared" si="168"/>
        <v>#REF!</v>
      </c>
      <c r="F109" s="2" t="s">
        <v>757</v>
      </c>
      <c r="G109" s="24" t="e">
        <f t="shared" si="158"/>
        <v>#REF!</v>
      </c>
      <c r="H109" s="7" t="e">
        <f t="shared" ref="H109:K109" si="169">+#REF!</f>
        <v>#REF!</v>
      </c>
      <c r="I109" s="7" t="e">
        <f t="shared" si="169"/>
        <v>#REF!</v>
      </c>
      <c r="J109" s="7" t="e">
        <f t="shared" si="169"/>
        <v>#REF!</v>
      </c>
      <c r="K109" s="7" t="e">
        <f t="shared" si="169"/>
        <v>#REF!</v>
      </c>
      <c r="L109" s="112"/>
      <c r="M109" s="7">
        <f>+VACANTES!H116</f>
        <v>55</v>
      </c>
      <c r="N109" s="7">
        <f>+VACANTES!I116</f>
        <v>0</v>
      </c>
      <c r="O109" s="7">
        <f>+VACANTES!J116</f>
        <v>0</v>
      </c>
      <c r="P109" s="7">
        <f>+VACANTES!K116</f>
        <v>5</v>
      </c>
      <c r="Q109" s="7">
        <f>+VACANTES!L116</f>
        <v>0</v>
      </c>
      <c r="R109" s="7">
        <f>+VACANTES!N116</f>
        <v>60</v>
      </c>
      <c r="S109" s="2">
        <f t="shared" si="147"/>
        <v>60</v>
      </c>
      <c r="T109" s="2"/>
      <c r="U109" s="2"/>
      <c r="V109" s="2"/>
      <c r="W109" s="2"/>
      <c r="X109" s="2"/>
      <c r="Y109" s="2"/>
      <c r="Z109" s="2"/>
    </row>
    <row r="110" spans="1:26" ht="15.75" customHeight="1">
      <c r="A110" s="2" t="e">
        <f t="shared" ref="A110:E110" si="170">+#REF!</f>
        <v>#REF!</v>
      </c>
      <c r="B110" s="2" t="e">
        <f t="shared" si="170"/>
        <v>#REF!</v>
      </c>
      <c r="C110" s="2" t="e">
        <f t="shared" si="170"/>
        <v>#REF!</v>
      </c>
      <c r="D110" s="2" t="e">
        <f t="shared" si="170"/>
        <v>#REF!</v>
      </c>
      <c r="E110" s="2" t="e">
        <f t="shared" si="170"/>
        <v>#REF!</v>
      </c>
      <c r="F110" s="2" t="s">
        <v>758</v>
      </c>
      <c r="G110" s="24" t="e">
        <f t="shared" si="158"/>
        <v>#REF!</v>
      </c>
      <c r="H110" s="7" t="e">
        <f t="shared" ref="H110:K110" si="171">+#REF!</f>
        <v>#REF!</v>
      </c>
      <c r="I110" s="7" t="e">
        <f t="shared" si="171"/>
        <v>#REF!</v>
      </c>
      <c r="J110" s="7" t="e">
        <f t="shared" si="171"/>
        <v>#REF!</v>
      </c>
      <c r="K110" s="7" t="e">
        <f t="shared" si="171"/>
        <v>#REF!</v>
      </c>
      <c r="L110" s="112"/>
      <c r="M110" s="7">
        <f>+VACANTES!H117</f>
        <v>50</v>
      </c>
      <c r="N110" s="7">
        <f>+VACANTES!I117</f>
        <v>0</v>
      </c>
      <c r="O110" s="7">
        <f>+VACANTES!J117</f>
        <v>0</v>
      </c>
      <c r="P110" s="7">
        <f>+VACANTES!K117</f>
        <v>5</v>
      </c>
      <c r="Q110" s="7">
        <f>+VACANTES!L117</f>
        <v>0</v>
      </c>
      <c r="R110" s="7">
        <f>+VACANTES!N117</f>
        <v>55</v>
      </c>
      <c r="S110" s="2">
        <f t="shared" si="147"/>
        <v>55</v>
      </c>
      <c r="T110" s="2"/>
      <c r="U110" s="2"/>
      <c r="V110" s="2"/>
      <c r="W110" s="2"/>
      <c r="X110" s="2"/>
      <c r="Y110" s="2"/>
      <c r="Z110" s="2"/>
    </row>
    <row r="111" spans="1:26" ht="15.75" customHeight="1">
      <c r="A111" s="2" t="e">
        <f t="shared" ref="A111:E111" si="172">+#REF!</f>
        <v>#REF!</v>
      </c>
      <c r="B111" s="2" t="e">
        <f t="shared" si="172"/>
        <v>#REF!</v>
      </c>
      <c r="C111" s="2" t="e">
        <f t="shared" si="172"/>
        <v>#REF!</v>
      </c>
      <c r="D111" s="2" t="e">
        <f t="shared" si="172"/>
        <v>#REF!</v>
      </c>
      <c r="E111" s="2" t="e">
        <f t="shared" si="172"/>
        <v>#REF!</v>
      </c>
      <c r="F111" s="2" t="s">
        <v>759</v>
      </c>
      <c r="G111" s="24" t="e">
        <f t="shared" si="158"/>
        <v>#REF!</v>
      </c>
      <c r="H111" s="7" t="e">
        <f t="shared" ref="H111:K111" si="173">+#REF!</f>
        <v>#REF!</v>
      </c>
      <c r="I111" s="7" t="e">
        <f t="shared" si="173"/>
        <v>#REF!</v>
      </c>
      <c r="J111" s="7" t="e">
        <f t="shared" si="173"/>
        <v>#REF!</v>
      </c>
      <c r="K111" s="7" t="e">
        <f t="shared" si="173"/>
        <v>#REF!</v>
      </c>
      <c r="L111" s="112"/>
      <c r="M111" s="7">
        <f>+VACANTES!H118</f>
        <v>60</v>
      </c>
      <c r="N111" s="7">
        <f>+VACANTES!I118</f>
        <v>0</v>
      </c>
      <c r="O111" s="7">
        <f>+VACANTES!J118</f>
        <v>0</v>
      </c>
      <c r="P111" s="7">
        <f>+VACANTES!K118</f>
        <v>5</v>
      </c>
      <c r="Q111" s="7">
        <f>+VACANTES!L118</f>
        <v>0</v>
      </c>
      <c r="R111" s="7">
        <f>+VACANTES!N118</f>
        <v>65</v>
      </c>
      <c r="S111" s="2">
        <f t="shared" si="147"/>
        <v>65</v>
      </c>
      <c r="T111" s="2"/>
      <c r="U111" s="2"/>
      <c r="V111" s="2"/>
      <c r="W111" s="2"/>
      <c r="X111" s="2"/>
      <c r="Y111" s="2"/>
      <c r="Z111" s="2"/>
    </row>
    <row r="112" spans="1:26" ht="15.75" customHeight="1">
      <c r="A112" s="2" t="e">
        <f t="shared" ref="A112:E112" si="174">+#REF!</f>
        <v>#REF!</v>
      </c>
      <c r="B112" s="2" t="e">
        <f t="shared" si="174"/>
        <v>#REF!</v>
      </c>
      <c r="C112" s="2" t="e">
        <f t="shared" si="174"/>
        <v>#REF!</v>
      </c>
      <c r="D112" s="2" t="e">
        <f t="shared" si="174"/>
        <v>#REF!</v>
      </c>
      <c r="E112" s="2" t="e">
        <f t="shared" si="174"/>
        <v>#REF!</v>
      </c>
      <c r="F112" s="24" t="s">
        <v>760</v>
      </c>
      <c r="G112" s="24" t="e">
        <f t="shared" si="158"/>
        <v>#REF!</v>
      </c>
      <c r="H112" s="7" t="e">
        <f t="shared" ref="H112:K112" si="175">+#REF!</f>
        <v>#REF!</v>
      </c>
      <c r="I112" s="7" t="e">
        <f t="shared" si="175"/>
        <v>#REF!</v>
      </c>
      <c r="J112" s="7" t="e">
        <f t="shared" si="175"/>
        <v>#REF!</v>
      </c>
      <c r="K112" s="7" t="e">
        <f t="shared" si="175"/>
        <v>#REF!</v>
      </c>
      <c r="L112" s="112"/>
      <c r="M112" s="7">
        <f>+VACANTES!H119</f>
        <v>60</v>
      </c>
      <c r="N112" s="7">
        <f>+VACANTES!I119</f>
        <v>0</v>
      </c>
      <c r="O112" s="7">
        <f>+VACANTES!J119</f>
        <v>0</v>
      </c>
      <c r="P112" s="7">
        <f>+VACANTES!K119</f>
        <v>5</v>
      </c>
      <c r="Q112" s="7">
        <f>+VACANTES!L119</f>
        <v>0</v>
      </c>
      <c r="R112" s="7">
        <f>+VACANTES!N119</f>
        <v>65</v>
      </c>
      <c r="S112" s="2">
        <f t="shared" si="147"/>
        <v>65</v>
      </c>
      <c r="T112" s="2"/>
      <c r="U112" s="2"/>
      <c r="V112" s="2"/>
      <c r="W112" s="2"/>
      <c r="X112" s="2"/>
      <c r="Y112" s="2"/>
      <c r="Z112" s="2"/>
    </row>
    <row r="113" spans="1:26" ht="15.75" customHeight="1">
      <c r="A113" s="2" t="e">
        <f t="shared" ref="A113:E113" si="176">+#REF!</f>
        <v>#REF!</v>
      </c>
      <c r="B113" s="2" t="e">
        <f t="shared" si="176"/>
        <v>#REF!</v>
      </c>
      <c r="C113" s="2" t="e">
        <f t="shared" si="176"/>
        <v>#REF!</v>
      </c>
      <c r="D113" s="2" t="e">
        <f t="shared" si="176"/>
        <v>#REF!</v>
      </c>
      <c r="E113" s="2" t="e">
        <f t="shared" si="176"/>
        <v>#REF!</v>
      </c>
      <c r="F113" s="2" t="str">
        <f>+F105</f>
        <v>21619704-6</v>
      </c>
      <c r="G113" s="24" t="e">
        <f t="shared" si="158"/>
        <v>#REF!</v>
      </c>
      <c r="H113" s="7" t="e">
        <f t="shared" ref="H113:K113" si="177">+#REF!</f>
        <v>#REF!</v>
      </c>
      <c r="I113" s="7" t="e">
        <f t="shared" si="177"/>
        <v>#REF!</v>
      </c>
      <c r="J113" s="7" t="e">
        <f t="shared" si="177"/>
        <v>#REF!</v>
      </c>
      <c r="K113" s="7" t="e">
        <f t="shared" si="177"/>
        <v>#REF!</v>
      </c>
      <c r="L113" s="112"/>
      <c r="M113" s="7">
        <f>+VACANTES!H120</f>
        <v>55</v>
      </c>
      <c r="N113" s="7">
        <f>+VACANTES!I120</f>
        <v>0</v>
      </c>
      <c r="O113" s="7">
        <f>+VACANTES!J120</f>
        <v>0</v>
      </c>
      <c r="P113" s="7">
        <f>+VACANTES!K120</f>
        <v>5</v>
      </c>
      <c r="Q113" s="7">
        <f>+VACANTES!L120</f>
        <v>5</v>
      </c>
      <c r="R113" s="7">
        <f>+VACANTES!N120</f>
        <v>72</v>
      </c>
      <c r="S113" s="2">
        <f t="shared" si="147"/>
        <v>67</v>
      </c>
      <c r="T113" s="2"/>
      <c r="U113" s="2"/>
      <c r="V113" s="2"/>
      <c r="W113" s="2"/>
      <c r="X113" s="2"/>
      <c r="Y113" s="2"/>
      <c r="Z113" s="2"/>
    </row>
    <row r="114" spans="1:26" ht="15.75" customHeight="1">
      <c r="A114" s="2" t="e">
        <f t="shared" ref="A114:E114" si="178">+#REF!</f>
        <v>#REF!</v>
      </c>
      <c r="B114" s="2" t="e">
        <f t="shared" si="178"/>
        <v>#REF!</v>
      </c>
      <c r="C114" s="2" t="e">
        <f t="shared" si="178"/>
        <v>#REF!</v>
      </c>
      <c r="D114" s="2" t="e">
        <f t="shared" si="178"/>
        <v>#REF!</v>
      </c>
      <c r="E114" s="2" t="e">
        <f t="shared" si="178"/>
        <v>#REF!</v>
      </c>
      <c r="F114" s="2" t="s">
        <v>761</v>
      </c>
      <c r="G114" s="24" t="e">
        <f t="shared" si="158"/>
        <v>#REF!</v>
      </c>
      <c r="H114" s="7" t="e">
        <f t="shared" ref="H114:K114" si="179">+#REF!</f>
        <v>#REF!</v>
      </c>
      <c r="I114" s="7" t="e">
        <f t="shared" si="179"/>
        <v>#REF!</v>
      </c>
      <c r="J114" s="7" t="e">
        <f t="shared" si="179"/>
        <v>#REF!</v>
      </c>
      <c r="K114" s="7" t="e">
        <f t="shared" si="179"/>
        <v>#REF!</v>
      </c>
      <c r="L114" s="112"/>
      <c r="M114" s="7">
        <f>+VACANTES!H121</f>
        <v>60</v>
      </c>
      <c r="N114" s="7">
        <f>+VACANTES!I121</f>
        <v>0</v>
      </c>
      <c r="O114" s="7">
        <f>+VACANTES!J121</f>
        <v>0</v>
      </c>
      <c r="P114" s="7">
        <f>+VACANTES!K121</f>
        <v>5</v>
      </c>
      <c r="Q114" s="7">
        <f>+VACANTES!L121</f>
        <v>5</v>
      </c>
      <c r="R114" s="7">
        <f>+VACANTES!N121</f>
        <v>70</v>
      </c>
      <c r="S114" s="2">
        <f t="shared" si="147"/>
        <v>65</v>
      </c>
      <c r="T114" s="2"/>
      <c r="U114" s="2"/>
      <c r="V114" s="2"/>
      <c r="W114" s="2"/>
      <c r="X114" s="2"/>
      <c r="Y114" s="2"/>
      <c r="Z114" s="2"/>
    </row>
    <row r="115" spans="1:26" ht="15.75" customHeight="1">
      <c r="A115" s="2" t="e">
        <f t="shared" ref="A115:E115" si="180">+#REF!</f>
        <v>#REF!</v>
      </c>
      <c r="B115" s="2" t="e">
        <f t="shared" si="180"/>
        <v>#REF!</v>
      </c>
      <c r="C115" s="2" t="e">
        <f t="shared" si="180"/>
        <v>#REF!</v>
      </c>
      <c r="D115" s="2" t="e">
        <f t="shared" si="180"/>
        <v>#REF!</v>
      </c>
      <c r="E115" s="2" t="e">
        <f t="shared" si="180"/>
        <v>#REF!</v>
      </c>
      <c r="F115" s="24" t="s">
        <v>762</v>
      </c>
      <c r="G115" s="24" t="e">
        <f t="shared" si="158"/>
        <v>#REF!</v>
      </c>
      <c r="H115" s="7" t="e">
        <f t="shared" ref="H115:K115" si="181">+#REF!</f>
        <v>#REF!</v>
      </c>
      <c r="I115" s="7" t="e">
        <f t="shared" si="181"/>
        <v>#REF!</v>
      </c>
      <c r="J115" s="7" t="e">
        <f t="shared" si="181"/>
        <v>#REF!</v>
      </c>
      <c r="K115" s="7" t="e">
        <f t="shared" si="181"/>
        <v>#REF!</v>
      </c>
      <c r="L115" s="112"/>
      <c r="M115" s="7">
        <f>+VACANTES!H122</f>
        <v>55</v>
      </c>
      <c r="N115" s="7">
        <f>+VACANTES!I122</f>
        <v>0</v>
      </c>
      <c r="O115" s="7">
        <f>+VACANTES!J122</f>
        <v>0</v>
      </c>
      <c r="P115" s="7">
        <f>+VACANTES!K122</f>
        <v>5</v>
      </c>
      <c r="Q115" s="7">
        <f>+VACANTES!L122</f>
        <v>5</v>
      </c>
      <c r="R115" s="7">
        <f>+VACANTES!N122</f>
        <v>73</v>
      </c>
      <c r="S115" s="2">
        <f t="shared" si="147"/>
        <v>68</v>
      </c>
      <c r="T115" s="2"/>
      <c r="U115" s="2"/>
      <c r="V115" s="2"/>
      <c r="W115" s="2"/>
      <c r="X115" s="2"/>
      <c r="Y115" s="2"/>
      <c r="Z115" s="2"/>
    </row>
    <row r="116" spans="1:26" ht="15.75" customHeight="1">
      <c r="A116" s="2" t="e">
        <f t="shared" ref="A116:E116" si="182">+#REF!</f>
        <v>#REF!</v>
      </c>
      <c r="B116" s="2" t="e">
        <f t="shared" si="182"/>
        <v>#REF!</v>
      </c>
      <c r="C116" s="2" t="e">
        <f t="shared" si="182"/>
        <v>#REF!</v>
      </c>
      <c r="D116" s="2" t="e">
        <f t="shared" si="182"/>
        <v>#REF!</v>
      </c>
      <c r="E116" s="2" t="e">
        <f t="shared" si="182"/>
        <v>#REF!</v>
      </c>
      <c r="F116" s="2" t="s">
        <v>763</v>
      </c>
      <c r="G116" s="24" t="e">
        <f t="shared" si="158"/>
        <v>#REF!</v>
      </c>
      <c r="H116" s="7" t="e">
        <f t="shared" ref="H116:K116" si="183">+#REF!</f>
        <v>#REF!</v>
      </c>
      <c r="I116" s="7" t="e">
        <f t="shared" si="183"/>
        <v>#REF!</v>
      </c>
      <c r="J116" s="7" t="e">
        <f t="shared" si="183"/>
        <v>#REF!</v>
      </c>
      <c r="K116" s="7" t="e">
        <f t="shared" si="183"/>
        <v>#REF!</v>
      </c>
      <c r="L116" s="112"/>
      <c r="M116" s="7">
        <f>+VACANTES!H123</f>
        <v>57</v>
      </c>
      <c r="N116" s="7">
        <f>+VACANTES!I123</f>
        <v>0</v>
      </c>
      <c r="O116" s="7">
        <f>+VACANTES!J123</f>
        <v>0</v>
      </c>
      <c r="P116" s="7">
        <f>+VACANTES!K123</f>
        <v>5</v>
      </c>
      <c r="Q116" s="7">
        <f>+VACANTES!L123</f>
        <v>5</v>
      </c>
      <c r="R116" s="7">
        <f>+VACANTES!N123</f>
        <v>67</v>
      </c>
      <c r="S116" s="2">
        <f t="shared" si="147"/>
        <v>62</v>
      </c>
      <c r="T116" s="2"/>
      <c r="U116" s="2"/>
      <c r="V116" s="2"/>
      <c r="W116" s="2"/>
      <c r="X116" s="2"/>
      <c r="Y116" s="2"/>
      <c r="Z116" s="2"/>
    </row>
    <row r="117" spans="1:26" ht="15.75" customHeight="1">
      <c r="A117" s="2" t="e">
        <f t="shared" ref="A117:E117" si="184">+#REF!</f>
        <v>#REF!</v>
      </c>
      <c r="B117" s="2" t="e">
        <f t="shared" si="184"/>
        <v>#REF!</v>
      </c>
      <c r="C117" s="2" t="e">
        <f t="shared" si="184"/>
        <v>#REF!</v>
      </c>
      <c r="D117" s="2" t="e">
        <f t="shared" si="184"/>
        <v>#REF!</v>
      </c>
      <c r="E117" s="2" t="e">
        <f t="shared" si="184"/>
        <v>#REF!</v>
      </c>
      <c r="F117" s="2" t="s">
        <v>763</v>
      </c>
      <c r="G117" s="24" t="e">
        <f t="shared" si="158"/>
        <v>#REF!</v>
      </c>
      <c r="H117" s="7" t="e">
        <f t="shared" ref="H117:K117" si="185">+#REF!</f>
        <v>#REF!</v>
      </c>
      <c r="I117" s="7" t="e">
        <f t="shared" si="185"/>
        <v>#REF!</v>
      </c>
      <c r="J117" s="7" t="e">
        <f t="shared" si="185"/>
        <v>#REF!</v>
      </c>
      <c r="K117" s="7" t="e">
        <f t="shared" si="185"/>
        <v>#REF!</v>
      </c>
      <c r="L117" s="112"/>
      <c r="M117" s="7">
        <f>+VACANTES!H124</f>
        <v>56</v>
      </c>
      <c r="N117" s="7">
        <f>+VACANTES!I124</f>
        <v>0</v>
      </c>
      <c r="O117" s="7">
        <f>+VACANTES!J124</f>
        <v>0</v>
      </c>
      <c r="P117" s="7">
        <f>+VACANTES!K124</f>
        <v>5</v>
      </c>
      <c r="Q117" s="7">
        <f>+VACANTES!L124</f>
        <v>5</v>
      </c>
      <c r="R117" s="7">
        <f>+VACANTES!N124</f>
        <v>71</v>
      </c>
      <c r="S117" s="2">
        <f t="shared" si="147"/>
        <v>66</v>
      </c>
      <c r="T117" s="2"/>
      <c r="U117" s="2"/>
      <c r="V117" s="2"/>
      <c r="W117" s="2"/>
      <c r="X117" s="2"/>
      <c r="Y117" s="2"/>
      <c r="Z117" s="2"/>
    </row>
    <row r="118" spans="1:26" ht="15.75" customHeight="1">
      <c r="A118" s="2" t="e">
        <f t="shared" ref="A118:E118" si="186">+#REF!</f>
        <v>#REF!</v>
      </c>
      <c r="B118" s="2" t="e">
        <f t="shared" si="186"/>
        <v>#REF!</v>
      </c>
      <c r="C118" s="2" t="e">
        <f t="shared" si="186"/>
        <v>#REF!</v>
      </c>
      <c r="D118" s="2" t="e">
        <f t="shared" si="186"/>
        <v>#REF!</v>
      </c>
      <c r="E118" s="2" t="e">
        <f t="shared" si="186"/>
        <v>#REF!</v>
      </c>
      <c r="F118" s="2" t="s">
        <v>764</v>
      </c>
      <c r="G118" s="24" t="e">
        <f t="shared" si="158"/>
        <v>#REF!</v>
      </c>
      <c r="H118" s="7" t="e">
        <f t="shared" ref="H118:K118" si="187">+#REF!</f>
        <v>#REF!</v>
      </c>
      <c r="I118" s="7" t="e">
        <f t="shared" si="187"/>
        <v>#REF!</v>
      </c>
      <c r="J118" s="7" t="e">
        <f t="shared" si="187"/>
        <v>#REF!</v>
      </c>
      <c r="K118" s="7" t="e">
        <f t="shared" si="187"/>
        <v>#REF!</v>
      </c>
      <c r="L118" s="112"/>
      <c r="M118" s="7">
        <f>+VACANTES!H125</f>
        <v>60</v>
      </c>
      <c r="N118" s="7">
        <f>+VACANTES!I125</f>
        <v>0</v>
      </c>
      <c r="O118" s="7">
        <f>+VACANTES!J125</f>
        <v>0</v>
      </c>
      <c r="P118" s="7">
        <f>+VACANTES!K125</f>
        <v>5</v>
      </c>
      <c r="Q118" s="7">
        <f>+VACANTES!L125</f>
        <v>0</v>
      </c>
      <c r="R118" s="7">
        <f>+VACANTES!N125</f>
        <v>65</v>
      </c>
      <c r="S118" s="2">
        <f t="shared" si="147"/>
        <v>65</v>
      </c>
      <c r="T118" s="2"/>
      <c r="U118" s="2"/>
      <c r="V118" s="2"/>
      <c r="W118" s="2"/>
      <c r="X118" s="2"/>
      <c r="Y118" s="2"/>
      <c r="Z118" s="2"/>
    </row>
    <row r="119" spans="1:26" ht="15.75" customHeight="1">
      <c r="A119" s="2" t="e">
        <f t="shared" ref="A119:E119" si="188">+#REF!</f>
        <v>#REF!</v>
      </c>
      <c r="B119" s="2" t="e">
        <f t="shared" si="188"/>
        <v>#REF!</v>
      </c>
      <c r="C119" s="2" t="e">
        <f t="shared" si="188"/>
        <v>#REF!</v>
      </c>
      <c r="D119" s="2" t="e">
        <f t="shared" si="188"/>
        <v>#REF!</v>
      </c>
      <c r="E119" s="2" t="e">
        <f t="shared" si="188"/>
        <v>#REF!</v>
      </c>
      <c r="F119" s="2" t="s">
        <v>765</v>
      </c>
      <c r="G119" s="24" t="e">
        <f t="shared" si="158"/>
        <v>#REF!</v>
      </c>
      <c r="H119" s="7" t="e">
        <f t="shared" ref="H119:K119" si="189">+#REF!</f>
        <v>#REF!</v>
      </c>
      <c r="I119" s="7" t="e">
        <f t="shared" si="189"/>
        <v>#REF!</v>
      </c>
      <c r="J119" s="7" t="e">
        <f t="shared" si="189"/>
        <v>#REF!</v>
      </c>
      <c r="K119" s="7" t="e">
        <f t="shared" si="189"/>
        <v>#REF!</v>
      </c>
      <c r="L119" s="112"/>
      <c r="M119" s="7">
        <f>+VACANTES!H126</f>
        <v>60</v>
      </c>
      <c r="N119" s="7">
        <f>+VACANTES!I126</f>
        <v>0</v>
      </c>
      <c r="O119" s="7">
        <f>+VACANTES!J126</f>
        <v>0</v>
      </c>
      <c r="P119" s="7">
        <f>+VACANTES!K126</f>
        <v>5</v>
      </c>
      <c r="Q119" s="7">
        <f>+VACANTES!L126</f>
        <v>0</v>
      </c>
      <c r="R119" s="7">
        <f>+VACANTES!N126</f>
        <v>65</v>
      </c>
      <c r="S119" s="2">
        <f t="shared" si="147"/>
        <v>65</v>
      </c>
      <c r="T119" s="2"/>
      <c r="U119" s="2"/>
      <c r="V119" s="2"/>
      <c r="W119" s="2"/>
      <c r="X119" s="2"/>
      <c r="Y119" s="2"/>
      <c r="Z119" s="2"/>
    </row>
    <row r="120" spans="1:26" ht="15.75" customHeight="1">
      <c r="A120" s="2" t="e">
        <f t="shared" ref="A120:E120" si="190">+#REF!</f>
        <v>#REF!</v>
      </c>
      <c r="B120" s="2" t="e">
        <f t="shared" si="190"/>
        <v>#REF!</v>
      </c>
      <c r="C120" s="2" t="e">
        <f t="shared" si="190"/>
        <v>#REF!</v>
      </c>
      <c r="D120" s="2" t="e">
        <f t="shared" si="190"/>
        <v>#REF!</v>
      </c>
      <c r="E120" s="2" t="e">
        <f t="shared" si="190"/>
        <v>#REF!</v>
      </c>
      <c r="F120" s="2" t="s">
        <v>766</v>
      </c>
      <c r="G120" s="24" t="e">
        <f t="shared" si="158"/>
        <v>#REF!</v>
      </c>
      <c r="H120" s="7" t="e">
        <f t="shared" ref="H120:K120" si="191">+#REF!</f>
        <v>#REF!</v>
      </c>
      <c r="I120" s="7" t="e">
        <f t="shared" si="191"/>
        <v>#REF!</v>
      </c>
      <c r="J120" s="7" t="e">
        <f t="shared" si="191"/>
        <v>#REF!</v>
      </c>
      <c r="K120" s="7" t="e">
        <f t="shared" si="191"/>
        <v>#REF!</v>
      </c>
      <c r="L120" s="112"/>
      <c r="M120" s="7">
        <f>+VACANTES!H127</f>
        <v>60</v>
      </c>
      <c r="N120" s="7">
        <f>+VACANTES!I127</f>
        <v>0</v>
      </c>
      <c r="O120" s="7">
        <f>+VACANTES!J127</f>
        <v>0</v>
      </c>
      <c r="P120" s="7">
        <f>+VACANTES!K127</f>
        <v>5</v>
      </c>
      <c r="Q120" s="7">
        <f>+VACANTES!L127</f>
        <v>0</v>
      </c>
      <c r="R120" s="7">
        <f>+VACANTES!N127</f>
        <v>65</v>
      </c>
      <c r="S120" s="2">
        <f t="shared" si="147"/>
        <v>65</v>
      </c>
      <c r="T120" s="2"/>
      <c r="U120" s="2"/>
      <c r="V120" s="2"/>
      <c r="W120" s="2"/>
      <c r="X120" s="2"/>
      <c r="Y120" s="2"/>
      <c r="Z120" s="2"/>
    </row>
    <row r="121" spans="1:26" ht="15.75" customHeight="1">
      <c r="A121" s="2" t="e">
        <f t="shared" ref="A121:E121" si="192">+#REF!</f>
        <v>#REF!</v>
      </c>
      <c r="B121" s="2" t="e">
        <f t="shared" si="192"/>
        <v>#REF!</v>
      </c>
      <c r="C121" s="2" t="e">
        <f t="shared" si="192"/>
        <v>#REF!</v>
      </c>
      <c r="D121" s="2" t="e">
        <f t="shared" si="192"/>
        <v>#REF!</v>
      </c>
      <c r="E121" s="2" t="e">
        <f t="shared" si="192"/>
        <v>#REF!</v>
      </c>
      <c r="F121" s="2" t="s">
        <v>767</v>
      </c>
      <c r="G121" s="24" t="e">
        <f t="shared" si="158"/>
        <v>#REF!</v>
      </c>
      <c r="H121" s="7" t="e">
        <f t="shared" ref="H121:K121" si="193">+#REF!</f>
        <v>#REF!</v>
      </c>
      <c r="I121" s="7" t="e">
        <f t="shared" si="193"/>
        <v>#REF!</v>
      </c>
      <c r="J121" s="7" t="e">
        <f t="shared" si="193"/>
        <v>#REF!</v>
      </c>
      <c r="K121" s="7" t="e">
        <f t="shared" si="193"/>
        <v>#REF!</v>
      </c>
      <c r="L121" s="112"/>
      <c r="M121" s="7">
        <f>+VACANTES!H128</f>
        <v>53</v>
      </c>
      <c r="N121" s="7">
        <f>+VACANTES!I128</f>
        <v>0</v>
      </c>
      <c r="O121" s="7">
        <f>+VACANTES!J128</f>
        <v>0</v>
      </c>
      <c r="P121" s="7">
        <f>+VACANTES!K128</f>
        <v>0</v>
      </c>
      <c r="Q121" s="7">
        <f>+VACANTES!L128</f>
        <v>0</v>
      </c>
      <c r="R121" s="7">
        <f>+VACANTES!N128</f>
        <v>53</v>
      </c>
      <c r="S121" s="2">
        <f t="shared" si="147"/>
        <v>53</v>
      </c>
      <c r="T121" s="2"/>
      <c r="U121" s="2"/>
      <c r="V121" s="2"/>
      <c r="W121" s="2"/>
      <c r="X121" s="2"/>
      <c r="Y121" s="2"/>
      <c r="Z121" s="2"/>
    </row>
    <row r="122" spans="1:26" ht="15.75" customHeight="1">
      <c r="A122" s="2" t="e">
        <f t="shared" ref="A122:E122" si="194">+#REF!</f>
        <v>#REF!</v>
      </c>
      <c r="B122" s="2" t="e">
        <f t="shared" si="194"/>
        <v>#REF!</v>
      </c>
      <c r="C122" s="2" t="e">
        <f t="shared" si="194"/>
        <v>#REF!</v>
      </c>
      <c r="D122" s="2" t="e">
        <f t="shared" si="194"/>
        <v>#REF!</v>
      </c>
      <c r="E122" s="2" t="e">
        <f t="shared" si="194"/>
        <v>#REF!</v>
      </c>
      <c r="F122" s="2" t="s">
        <v>768</v>
      </c>
      <c r="G122" s="24" t="e">
        <f t="shared" si="158"/>
        <v>#REF!</v>
      </c>
      <c r="H122" s="7" t="e">
        <f t="shared" ref="H122:K122" si="195">+#REF!</f>
        <v>#REF!</v>
      </c>
      <c r="I122" s="7" t="e">
        <f t="shared" si="195"/>
        <v>#REF!</v>
      </c>
      <c r="J122" s="7" t="e">
        <f t="shared" si="195"/>
        <v>#REF!</v>
      </c>
      <c r="K122" s="7" t="e">
        <f t="shared" si="195"/>
        <v>#REF!</v>
      </c>
      <c r="L122" s="112"/>
      <c r="M122" s="7">
        <f>+VACANTES!H129</f>
        <v>58</v>
      </c>
      <c r="N122" s="7">
        <f>+VACANTES!I129</f>
        <v>0</v>
      </c>
      <c r="O122" s="7">
        <f>+VACANTES!J129</f>
        <v>0</v>
      </c>
      <c r="P122" s="7">
        <f>+VACANTES!K129</f>
        <v>0</v>
      </c>
      <c r="Q122" s="7">
        <f>+VACANTES!L129</f>
        <v>0</v>
      </c>
      <c r="R122" s="7">
        <f>+VACANTES!N129</f>
        <v>58</v>
      </c>
      <c r="S122" s="2">
        <f t="shared" si="147"/>
        <v>58</v>
      </c>
      <c r="T122" s="2"/>
      <c r="U122" s="2"/>
      <c r="V122" s="2"/>
      <c r="W122" s="2"/>
      <c r="X122" s="2"/>
      <c r="Y122" s="2"/>
      <c r="Z122" s="2"/>
    </row>
    <row r="123" spans="1:26" ht="15.75" customHeight="1">
      <c r="A123" s="2" t="e">
        <f t="shared" ref="A123:E123" si="196">+#REF!</f>
        <v>#REF!</v>
      </c>
      <c r="B123" s="2" t="e">
        <f t="shared" si="196"/>
        <v>#REF!</v>
      </c>
      <c r="C123" s="2" t="e">
        <f t="shared" si="196"/>
        <v>#REF!</v>
      </c>
      <c r="D123" s="2" t="e">
        <f t="shared" si="196"/>
        <v>#REF!</v>
      </c>
      <c r="E123" s="2" t="e">
        <f t="shared" si="196"/>
        <v>#REF!</v>
      </c>
      <c r="F123" s="2" t="str">
        <f>+F115</f>
        <v>10994047-K</v>
      </c>
      <c r="G123" s="24" t="e">
        <f t="shared" si="158"/>
        <v>#REF!</v>
      </c>
      <c r="H123" s="7" t="e">
        <f t="shared" ref="H123:K123" si="197">+#REF!</f>
        <v>#REF!</v>
      </c>
      <c r="I123" s="7" t="e">
        <f t="shared" si="197"/>
        <v>#REF!</v>
      </c>
      <c r="J123" s="7" t="e">
        <f t="shared" si="197"/>
        <v>#REF!</v>
      </c>
      <c r="K123" s="7" t="e">
        <f t="shared" si="197"/>
        <v>#REF!</v>
      </c>
      <c r="L123" s="112"/>
      <c r="M123" s="7">
        <f>+VACANTES!H130</f>
        <v>58</v>
      </c>
      <c r="N123" s="7">
        <f>+VACANTES!I130</f>
        <v>0</v>
      </c>
      <c r="O123" s="7">
        <f>+VACANTES!J130</f>
        <v>0</v>
      </c>
      <c r="P123" s="7">
        <f>+VACANTES!K130</f>
        <v>0</v>
      </c>
      <c r="Q123" s="7">
        <f>+VACANTES!L130</f>
        <v>0</v>
      </c>
      <c r="R123" s="7">
        <f>+VACANTES!N130</f>
        <v>58</v>
      </c>
      <c r="S123" s="2">
        <f t="shared" si="147"/>
        <v>58</v>
      </c>
      <c r="T123" s="2"/>
      <c r="U123" s="2"/>
      <c r="V123" s="2"/>
      <c r="W123" s="2"/>
      <c r="X123" s="2"/>
      <c r="Y123" s="2"/>
      <c r="Z123" s="2"/>
    </row>
    <row r="124" spans="1:26" ht="15.75" customHeight="1">
      <c r="A124" s="2" t="e">
        <f t="shared" ref="A124:E124" si="198">+#REF!</f>
        <v>#REF!</v>
      </c>
      <c r="B124" s="2" t="e">
        <f t="shared" si="198"/>
        <v>#REF!</v>
      </c>
      <c r="C124" s="2" t="e">
        <f t="shared" si="198"/>
        <v>#REF!</v>
      </c>
      <c r="D124" s="2" t="e">
        <f t="shared" si="198"/>
        <v>#REF!</v>
      </c>
      <c r="E124" s="2" t="e">
        <f t="shared" si="198"/>
        <v>#REF!</v>
      </c>
      <c r="F124" s="2" t="s">
        <v>769</v>
      </c>
      <c r="G124" s="24" t="e">
        <f t="shared" si="158"/>
        <v>#REF!</v>
      </c>
      <c r="H124" s="7" t="e">
        <f t="shared" ref="H124:K124" si="199">+#REF!</f>
        <v>#REF!</v>
      </c>
      <c r="I124" s="7" t="e">
        <f t="shared" si="199"/>
        <v>#REF!</v>
      </c>
      <c r="J124" s="7" t="e">
        <f t="shared" si="199"/>
        <v>#REF!</v>
      </c>
      <c r="K124" s="7" t="e">
        <f t="shared" si="199"/>
        <v>#REF!</v>
      </c>
      <c r="L124" s="112"/>
      <c r="M124" s="7">
        <f>+VACANTES!H131</f>
        <v>60</v>
      </c>
      <c r="N124" s="7">
        <f>+VACANTES!I131</f>
        <v>0</v>
      </c>
      <c r="O124" s="7">
        <f>+VACANTES!J131</f>
        <v>0</v>
      </c>
      <c r="P124" s="7">
        <f>+VACANTES!K131</f>
        <v>3</v>
      </c>
      <c r="Q124" s="7">
        <f>+VACANTES!L131</f>
        <v>0</v>
      </c>
      <c r="R124" s="7">
        <f>+VACANTES!N131</f>
        <v>63</v>
      </c>
      <c r="S124" s="2">
        <f t="shared" si="147"/>
        <v>63</v>
      </c>
      <c r="T124" s="2"/>
      <c r="U124" s="2"/>
      <c r="V124" s="2"/>
      <c r="W124" s="2"/>
      <c r="X124" s="2"/>
      <c r="Y124" s="2"/>
      <c r="Z124" s="2"/>
    </row>
    <row r="125" spans="1:26" ht="15.75" customHeight="1">
      <c r="A125" s="2" t="e">
        <f t="shared" ref="A125:E125" si="200">+#REF!</f>
        <v>#REF!</v>
      </c>
      <c r="B125" s="2" t="e">
        <f t="shared" si="200"/>
        <v>#REF!</v>
      </c>
      <c r="C125" s="2" t="e">
        <f t="shared" si="200"/>
        <v>#REF!</v>
      </c>
      <c r="D125" s="2" t="e">
        <f t="shared" si="200"/>
        <v>#REF!</v>
      </c>
      <c r="E125" s="2" t="e">
        <f t="shared" si="200"/>
        <v>#REF!</v>
      </c>
      <c r="F125" s="2" t="s">
        <v>770</v>
      </c>
      <c r="G125" s="24" t="e">
        <f t="shared" si="158"/>
        <v>#REF!</v>
      </c>
      <c r="H125" s="7" t="e">
        <f t="shared" ref="H125:K125" si="201">+#REF!</f>
        <v>#REF!</v>
      </c>
      <c r="I125" s="7" t="e">
        <f t="shared" si="201"/>
        <v>#REF!</v>
      </c>
      <c r="J125" s="7" t="e">
        <f t="shared" si="201"/>
        <v>#REF!</v>
      </c>
      <c r="K125" s="7" t="e">
        <f t="shared" si="201"/>
        <v>#REF!</v>
      </c>
      <c r="L125" s="112"/>
      <c r="M125" s="7">
        <f>+VACANTES!H132</f>
        <v>60</v>
      </c>
      <c r="N125" s="7">
        <f>+VACANTES!I132</f>
        <v>0</v>
      </c>
      <c r="O125" s="7">
        <f>+VACANTES!J132</f>
        <v>0</v>
      </c>
      <c r="P125" s="7">
        <f>+VACANTES!K132</f>
        <v>3</v>
      </c>
      <c r="Q125" s="7">
        <f>+VACANTES!L132</f>
        <v>0</v>
      </c>
      <c r="R125" s="7">
        <f>+VACANTES!N132</f>
        <v>63</v>
      </c>
      <c r="S125" s="2">
        <f t="shared" si="147"/>
        <v>63</v>
      </c>
      <c r="T125" s="2"/>
      <c r="U125" s="2"/>
      <c r="V125" s="2"/>
      <c r="W125" s="2"/>
      <c r="X125" s="2"/>
      <c r="Y125" s="2"/>
      <c r="Z125" s="2"/>
    </row>
    <row r="126" spans="1:26" ht="15.75" customHeight="1">
      <c r="A126" s="2" t="e">
        <f t="shared" ref="A126:E126" si="202">+#REF!</f>
        <v>#REF!</v>
      </c>
      <c r="B126" s="2" t="e">
        <f t="shared" si="202"/>
        <v>#REF!</v>
      </c>
      <c r="C126" s="2" t="e">
        <f t="shared" si="202"/>
        <v>#REF!</v>
      </c>
      <c r="D126" s="2" t="e">
        <f t="shared" si="202"/>
        <v>#REF!</v>
      </c>
      <c r="E126" s="2" t="e">
        <f t="shared" si="202"/>
        <v>#REF!</v>
      </c>
      <c r="F126" s="2" t="s">
        <v>771</v>
      </c>
      <c r="G126" s="24" t="e">
        <f t="shared" si="158"/>
        <v>#REF!</v>
      </c>
      <c r="H126" s="7" t="e">
        <f t="shared" ref="H126:K126" si="203">+#REF!</f>
        <v>#REF!</v>
      </c>
      <c r="I126" s="7" t="e">
        <f t="shared" si="203"/>
        <v>#REF!</v>
      </c>
      <c r="J126" s="7" t="e">
        <f t="shared" si="203"/>
        <v>#REF!</v>
      </c>
      <c r="K126" s="7" t="e">
        <f t="shared" si="203"/>
        <v>#REF!</v>
      </c>
      <c r="L126" s="112"/>
      <c r="M126" s="7">
        <f>+VACANTES!H133</f>
        <v>0</v>
      </c>
      <c r="N126" s="7">
        <f>+VACANTES!I133</f>
        <v>0</v>
      </c>
      <c r="O126" s="7">
        <f>+VACANTES!J133</f>
        <v>0</v>
      </c>
      <c r="P126" s="7">
        <f>+VACANTES!K133</f>
        <v>0</v>
      </c>
      <c r="Q126" s="7">
        <f>+VACANTES!L133</f>
        <v>0</v>
      </c>
      <c r="R126" s="7">
        <f>+VACANTES!N133</f>
        <v>0</v>
      </c>
      <c r="S126" s="2">
        <f t="shared" si="147"/>
        <v>0</v>
      </c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7"/>
      <c r="C127" s="7"/>
      <c r="D127" s="2"/>
      <c r="E127" s="2"/>
      <c r="F127" s="2"/>
      <c r="G127" s="24" t="str">
        <f t="shared" si="158"/>
        <v/>
      </c>
      <c r="H127" s="7"/>
      <c r="I127" s="7"/>
      <c r="J127" s="7"/>
      <c r="K127" s="7"/>
      <c r="L127" s="112"/>
      <c r="M127" s="7"/>
      <c r="N127" s="2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14" t="s">
        <v>157</v>
      </c>
      <c r="B128" s="14"/>
      <c r="C128" s="14"/>
      <c r="D128" s="3"/>
      <c r="E128" s="3"/>
      <c r="F128" s="3"/>
      <c r="G128" s="24" t="str">
        <f t="shared" si="158"/>
        <v/>
      </c>
      <c r="H128" s="7"/>
      <c r="I128" s="7"/>
      <c r="J128" s="14"/>
      <c r="K128" s="14"/>
      <c r="L128" s="110"/>
      <c r="M128" s="7"/>
      <c r="N128" s="7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114"/>
      <c r="B129" s="14"/>
      <c r="C129" s="14"/>
      <c r="D129" s="3"/>
      <c r="E129" s="3"/>
      <c r="F129" s="3"/>
      <c r="G129" s="24" t="str">
        <f t="shared" si="158"/>
        <v/>
      </c>
      <c r="H129" s="445" t="s">
        <v>7</v>
      </c>
      <c r="I129" s="404"/>
      <c r="J129" s="445" t="s">
        <v>8</v>
      </c>
      <c r="K129" s="404"/>
      <c r="L129" s="110"/>
      <c r="M129" s="14"/>
      <c r="N129" s="7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3" t="s">
        <v>11</v>
      </c>
      <c r="B130" s="14" t="s">
        <v>12</v>
      </c>
      <c r="C130" s="14" t="s">
        <v>13</v>
      </c>
      <c r="D130" s="3" t="s">
        <v>14</v>
      </c>
      <c r="E130" s="3" t="s">
        <v>15</v>
      </c>
      <c r="F130" s="3"/>
      <c r="G130" s="26" t="s">
        <v>16</v>
      </c>
      <c r="H130" s="14" t="s">
        <v>688</v>
      </c>
      <c r="I130" s="14" t="s">
        <v>681</v>
      </c>
      <c r="J130" s="14" t="s">
        <v>688</v>
      </c>
      <c r="K130" s="14" t="s">
        <v>681</v>
      </c>
      <c r="L130" s="110"/>
      <c r="M130" s="14" t="str">
        <f>+VACANTES!H137</f>
        <v>UA05</v>
      </c>
      <c r="N130" s="14" t="str">
        <f>+VACANTES!I137</f>
        <v>UA11</v>
      </c>
      <c r="O130" s="14" t="str">
        <f>+VACANTES!J137</f>
        <v>UA07</v>
      </c>
      <c r="P130" s="14" t="str">
        <f>+VACANTES!K137</f>
        <v>FG</v>
      </c>
      <c r="Q130" s="14" t="str">
        <f>+VACANTES!L137</f>
        <v>INTERC.</v>
      </c>
      <c r="R130" s="14" t="str">
        <f>+VACANTES!N137</f>
        <v>TOTAL</v>
      </c>
      <c r="S130" s="3" t="s">
        <v>22</v>
      </c>
      <c r="T130" s="2"/>
      <c r="U130" s="2"/>
      <c r="V130" s="2"/>
      <c r="W130" s="2"/>
      <c r="X130" s="2"/>
      <c r="Y130" s="2"/>
      <c r="Z130" s="2"/>
    </row>
    <row r="131" spans="1:26" ht="15.75" customHeight="1">
      <c r="A131" s="2" t="e">
        <f t="shared" ref="A131:E131" si="204">+#REF!</f>
        <v>#REF!</v>
      </c>
      <c r="B131" s="2" t="e">
        <f t="shared" si="204"/>
        <v>#REF!</v>
      </c>
      <c r="C131" s="2" t="e">
        <f t="shared" si="204"/>
        <v>#REF!</v>
      </c>
      <c r="D131" s="2" t="e">
        <f t="shared" si="204"/>
        <v>#REF!</v>
      </c>
      <c r="E131" s="2" t="e">
        <f t="shared" si="204"/>
        <v>#REF!</v>
      </c>
      <c r="F131" s="2" t="s">
        <v>772</v>
      </c>
      <c r="G131" s="24" t="e">
        <f t="shared" ref="G131:G137" si="205">IF(D131="","",VLOOKUP(MID(A131,1,7),#REF!,3,FALSE))</f>
        <v>#REF!</v>
      </c>
      <c r="H131" s="7" t="e">
        <f t="shared" ref="H131:K131" si="206">+#REF!</f>
        <v>#REF!</v>
      </c>
      <c r="I131" s="7" t="e">
        <f t="shared" si="206"/>
        <v>#REF!</v>
      </c>
      <c r="J131" s="7" t="e">
        <f t="shared" si="206"/>
        <v>#REF!</v>
      </c>
      <c r="K131" s="7" t="e">
        <f t="shared" si="206"/>
        <v>#REF!</v>
      </c>
      <c r="L131" s="112"/>
      <c r="M131" s="7">
        <f>+VACANTES!H138</f>
        <v>35</v>
      </c>
      <c r="N131" s="7">
        <f>+VACANTES!I138</f>
        <v>0</v>
      </c>
      <c r="O131" s="7">
        <f>+VACANTES!J138</f>
        <v>0</v>
      </c>
      <c r="P131" s="7">
        <f>+VACANTES!K138</f>
        <v>10</v>
      </c>
      <c r="Q131" s="7">
        <f>+VACANTES!L138</f>
        <v>10</v>
      </c>
      <c r="R131" s="7">
        <f>+VACANTES!N138</f>
        <v>55</v>
      </c>
      <c r="S131" s="2">
        <f t="shared" ref="S131:S137" si="207">+R131-Q131</f>
        <v>45</v>
      </c>
      <c r="T131" s="2"/>
      <c r="U131" s="2"/>
      <c r="V131" s="2"/>
      <c r="W131" s="2"/>
      <c r="X131" s="2"/>
      <c r="Y131" s="2"/>
      <c r="Z131" s="2"/>
    </row>
    <row r="132" spans="1:26" ht="15.75" customHeight="1">
      <c r="A132" s="2" t="e">
        <f t="shared" ref="A132:E132" si="208">+#REF!</f>
        <v>#REF!</v>
      </c>
      <c r="B132" s="2" t="e">
        <f t="shared" si="208"/>
        <v>#REF!</v>
      </c>
      <c r="C132" s="2" t="e">
        <f t="shared" si="208"/>
        <v>#REF!</v>
      </c>
      <c r="D132" s="2" t="e">
        <f t="shared" si="208"/>
        <v>#REF!</v>
      </c>
      <c r="E132" s="2" t="e">
        <f t="shared" si="208"/>
        <v>#REF!</v>
      </c>
      <c r="F132" s="2" t="str">
        <f>+F154</f>
        <v>7833788-5</v>
      </c>
      <c r="G132" s="24" t="e">
        <f t="shared" si="205"/>
        <v>#REF!</v>
      </c>
      <c r="H132" s="7" t="e">
        <f t="shared" ref="H132:K132" si="209">+#REF!</f>
        <v>#REF!</v>
      </c>
      <c r="I132" s="7" t="e">
        <f t="shared" si="209"/>
        <v>#REF!</v>
      </c>
      <c r="J132" s="7" t="e">
        <f t="shared" si="209"/>
        <v>#REF!</v>
      </c>
      <c r="K132" s="7" t="e">
        <f t="shared" si="209"/>
        <v>#REF!</v>
      </c>
      <c r="L132" s="112"/>
      <c r="M132" s="7">
        <f>+VACANTES!H139</f>
        <v>40</v>
      </c>
      <c r="N132" s="7">
        <f>+VACANTES!I139</f>
        <v>0</v>
      </c>
      <c r="O132" s="7">
        <f>+VACANTES!J139</f>
        <v>0</v>
      </c>
      <c r="P132" s="7">
        <f>+VACANTES!K139</f>
        <v>5</v>
      </c>
      <c r="Q132" s="7">
        <f>+VACANTES!L139</f>
        <v>10</v>
      </c>
      <c r="R132" s="7">
        <f>+VACANTES!N139</f>
        <v>55</v>
      </c>
      <c r="S132" s="2">
        <f t="shared" si="207"/>
        <v>45</v>
      </c>
      <c r="T132" s="2"/>
      <c r="U132" s="2"/>
      <c r="V132" s="2"/>
      <c r="W132" s="2"/>
      <c r="X132" s="2"/>
      <c r="Y132" s="2"/>
      <c r="Z132" s="2"/>
    </row>
    <row r="133" spans="1:26" ht="15.75" customHeight="1">
      <c r="A133" s="2" t="e">
        <f t="shared" ref="A133:E133" si="210">+#REF!</f>
        <v>#REF!</v>
      </c>
      <c r="B133" s="2" t="e">
        <f t="shared" si="210"/>
        <v>#REF!</v>
      </c>
      <c r="C133" s="2" t="e">
        <f t="shared" si="210"/>
        <v>#REF!</v>
      </c>
      <c r="D133" s="2" t="e">
        <f t="shared" si="210"/>
        <v>#REF!</v>
      </c>
      <c r="E133" s="2" t="e">
        <f t="shared" si="210"/>
        <v>#REF!</v>
      </c>
      <c r="F133" s="2" t="str">
        <f>+F99</f>
        <v>8609956-K</v>
      </c>
      <c r="G133" s="24" t="e">
        <f t="shared" si="205"/>
        <v>#REF!</v>
      </c>
      <c r="H133" s="7" t="e">
        <f t="shared" ref="H133:K133" si="211">+#REF!</f>
        <v>#REF!</v>
      </c>
      <c r="I133" s="7" t="e">
        <f t="shared" si="211"/>
        <v>#REF!</v>
      </c>
      <c r="J133" s="7" t="e">
        <f t="shared" si="211"/>
        <v>#REF!</v>
      </c>
      <c r="K133" s="7" t="e">
        <f t="shared" si="211"/>
        <v>#REF!</v>
      </c>
      <c r="L133" s="112"/>
      <c r="M133" s="7">
        <f>+VACANTES!H142</f>
        <v>50</v>
      </c>
      <c r="N133" s="7">
        <f>+VACANTES!I142</f>
        <v>0</v>
      </c>
      <c r="O133" s="7">
        <f>+VACANTES!J142</f>
        <v>0</v>
      </c>
      <c r="P133" s="7">
        <f>+VACANTES!K142</f>
        <v>5</v>
      </c>
      <c r="Q133" s="7">
        <f>+VACANTES!L142</f>
        <v>10</v>
      </c>
      <c r="R133" s="7">
        <f>+VACANTES!N142</f>
        <v>65</v>
      </c>
      <c r="S133" s="2">
        <f t="shared" si="207"/>
        <v>55</v>
      </c>
      <c r="T133" s="2"/>
      <c r="U133" s="2"/>
      <c r="V133" s="2"/>
      <c r="W133" s="2"/>
      <c r="X133" s="2"/>
      <c r="Y133" s="2"/>
      <c r="Z133" s="2"/>
    </row>
    <row r="134" spans="1:26" ht="15.75" customHeight="1">
      <c r="A134" s="2" t="e">
        <f t="shared" ref="A134:E134" si="212">+#REF!</f>
        <v>#REF!</v>
      </c>
      <c r="B134" s="2" t="e">
        <f t="shared" si="212"/>
        <v>#REF!</v>
      </c>
      <c r="C134" s="2" t="e">
        <f t="shared" si="212"/>
        <v>#REF!</v>
      </c>
      <c r="D134" s="2" t="e">
        <f t="shared" si="212"/>
        <v>#REF!</v>
      </c>
      <c r="E134" s="2" t="e">
        <f t="shared" si="212"/>
        <v>#REF!</v>
      </c>
      <c r="F134" s="2" t="s">
        <v>773</v>
      </c>
      <c r="G134" s="24" t="e">
        <f t="shared" si="205"/>
        <v>#REF!</v>
      </c>
      <c r="H134" s="7" t="e">
        <f t="shared" ref="H134:K134" si="213">+#REF!</f>
        <v>#REF!</v>
      </c>
      <c r="I134" s="7" t="e">
        <f t="shared" si="213"/>
        <v>#REF!</v>
      </c>
      <c r="J134" s="7" t="e">
        <f t="shared" si="213"/>
        <v>#REF!</v>
      </c>
      <c r="K134" s="7" t="e">
        <f t="shared" si="213"/>
        <v>#REF!</v>
      </c>
      <c r="L134" s="112"/>
      <c r="M134" s="7">
        <f>+VACANTES!H141</f>
        <v>30</v>
      </c>
      <c r="N134" s="7">
        <f>+VACANTES!I141</f>
        <v>0</v>
      </c>
      <c r="O134" s="7">
        <f>+VACANTES!J141</f>
        <v>0</v>
      </c>
      <c r="P134" s="7">
        <f>+VACANTES!K141</f>
        <v>5</v>
      </c>
      <c r="Q134" s="7">
        <f>+VACANTES!L141</f>
        <v>10</v>
      </c>
      <c r="R134" s="7">
        <f>+VACANTES!N141</f>
        <v>45</v>
      </c>
      <c r="S134" s="2">
        <f t="shared" si="207"/>
        <v>35</v>
      </c>
      <c r="T134" s="2"/>
      <c r="U134" s="2"/>
      <c r="V134" s="2"/>
      <c r="W134" s="2"/>
      <c r="X134" s="2"/>
      <c r="Y134" s="2"/>
      <c r="Z134" s="2"/>
    </row>
    <row r="135" spans="1:26" ht="15.75" customHeight="1">
      <c r="A135" s="2" t="e">
        <f t="shared" ref="A135:E135" si="214">+#REF!</f>
        <v>#REF!</v>
      </c>
      <c r="B135" s="2" t="e">
        <f t="shared" si="214"/>
        <v>#REF!</v>
      </c>
      <c r="C135" s="2" t="e">
        <f t="shared" si="214"/>
        <v>#REF!</v>
      </c>
      <c r="D135" s="2" t="e">
        <f t="shared" si="214"/>
        <v>#REF!</v>
      </c>
      <c r="E135" s="2" t="e">
        <f t="shared" si="214"/>
        <v>#REF!</v>
      </c>
      <c r="F135" s="2" t="s">
        <v>774</v>
      </c>
      <c r="G135" s="24" t="e">
        <f t="shared" si="205"/>
        <v>#REF!</v>
      </c>
      <c r="H135" s="7" t="e">
        <f t="shared" ref="H135:K135" si="215">+#REF!</f>
        <v>#REF!</v>
      </c>
      <c r="I135" s="7" t="e">
        <f t="shared" si="215"/>
        <v>#REF!</v>
      </c>
      <c r="J135" s="7" t="e">
        <f t="shared" si="215"/>
        <v>#REF!</v>
      </c>
      <c r="K135" s="7" t="e">
        <f t="shared" si="215"/>
        <v>#REF!</v>
      </c>
      <c r="L135" s="112"/>
      <c r="M135" s="7" t="e">
        <f>+VACANTES!#REF!</f>
        <v>#REF!</v>
      </c>
      <c r="N135" s="7" t="e">
        <f>+VACANTES!#REF!</f>
        <v>#REF!</v>
      </c>
      <c r="O135" s="7" t="e">
        <f>+VACANTES!#REF!</f>
        <v>#REF!</v>
      </c>
      <c r="P135" s="7" t="e">
        <f>+VACANTES!#REF!</f>
        <v>#REF!</v>
      </c>
      <c r="Q135" s="7" t="e">
        <f>+VACANTES!#REF!</f>
        <v>#REF!</v>
      </c>
      <c r="R135" s="7" t="e">
        <f>+VACANTES!#REF!</f>
        <v>#REF!</v>
      </c>
      <c r="S135" s="2" t="e">
        <f t="shared" si="207"/>
        <v>#REF!</v>
      </c>
      <c r="T135" s="2"/>
      <c r="U135" s="2"/>
      <c r="V135" s="2"/>
      <c r="W135" s="2"/>
      <c r="X135" s="2"/>
      <c r="Y135" s="2"/>
      <c r="Z135" s="2"/>
    </row>
    <row r="136" spans="1:26" ht="15.75" customHeight="1">
      <c r="A136" s="2" t="e">
        <f t="shared" ref="A136:E136" si="216">+#REF!</f>
        <v>#REF!</v>
      </c>
      <c r="B136" s="2" t="e">
        <f t="shared" si="216"/>
        <v>#REF!</v>
      </c>
      <c r="C136" s="2" t="e">
        <f t="shared" si="216"/>
        <v>#REF!</v>
      </c>
      <c r="D136" s="2" t="e">
        <f t="shared" si="216"/>
        <v>#REF!</v>
      </c>
      <c r="E136" s="2" t="e">
        <f t="shared" si="216"/>
        <v>#REF!</v>
      </c>
      <c r="F136" s="2" t="str">
        <f>+F133</f>
        <v>8609956-K</v>
      </c>
      <c r="G136" s="24" t="e">
        <f t="shared" si="205"/>
        <v>#REF!</v>
      </c>
      <c r="H136" s="7" t="e">
        <f t="shared" ref="H136:K136" si="217">+#REF!</f>
        <v>#REF!</v>
      </c>
      <c r="I136" s="7" t="e">
        <f t="shared" si="217"/>
        <v>#REF!</v>
      </c>
      <c r="J136" s="7" t="e">
        <f t="shared" si="217"/>
        <v>#REF!</v>
      </c>
      <c r="K136" s="7" t="e">
        <f t="shared" si="217"/>
        <v>#REF!</v>
      </c>
      <c r="L136" s="112"/>
      <c r="M136" s="7">
        <f>+VACANTES!H143</f>
        <v>50</v>
      </c>
      <c r="N136" s="7">
        <f>+VACANTES!I143</f>
        <v>0</v>
      </c>
      <c r="O136" s="7">
        <f>+VACANTES!J143</f>
        <v>0</v>
      </c>
      <c r="P136" s="7">
        <f>+VACANTES!K143</f>
        <v>5</v>
      </c>
      <c r="Q136" s="7">
        <f>+VACANTES!L143</f>
        <v>10</v>
      </c>
      <c r="R136" s="7">
        <f>+VACANTES!N143</f>
        <v>65</v>
      </c>
      <c r="S136" s="2">
        <f t="shared" si="207"/>
        <v>55</v>
      </c>
      <c r="T136" s="2"/>
      <c r="U136" s="2"/>
      <c r="V136" s="2"/>
      <c r="W136" s="2"/>
      <c r="X136" s="2"/>
      <c r="Y136" s="2"/>
      <c r="Z136" s="2"/>
    </row>
    <row r="137" spans="1:26" ht="15.75" customHeight="1">
      <c r="A137" s="2" t="e">
        <f t="shared" ref="A137:E137" si="218">+#REF!</f>
        <v>#REF!</v>
      </c>
      <c r="B137" s="2" t="e">
        <f t="shared" si="218"/>
        <v>#REF!</v>
      </c>
      <c r="C137" s="2" t="e">
        <f t="shared" si="218"/>
        <v>#REF!</v>
      </c>
      <c r="D137" s="2" t="e">
        <f t="shared" si="218"/>
        <v>#REF!</v>
      </c>
      <c r="E137" s="2" t="e">
        <f t="shared" si="218"/>
        <v>#REF!</v>
      </c>
      <c r="F137" s="2" t="s">
        <v>775</v>
      </c>
      <c r="G137" s="24" t="e">
        <f t="shared" si="205"/>
        <v>#REF!</v>
      </c>
      <c r="H137" s="7" t="e">
        <f t="shared" ref="H137:K137" si="219">+#REF!</f>
        <v>#REF!</v>
      </c>
      <c r="I137" s="7" t="e">
        <f t="shared" si="219"/>
        <v>#REF!</v>
      </c>
      <c r="J137" s="7" t="e">
        <f t="shared" si="219"/>
        <v>#REF!</v>
      </c>
      <c r="K137" s="7" t="e">
        <f t="shared" si="219"/>
        <v>#REF!</v>
      </c>
      <c r="L137" s="112"/>
      <c r="M137" s="7">
        <f>+VACANTES!H144</f>
        <v>0</v>
      </c>
      <c r="N137" s="7">
        <f>+VACANTES!I144</f>
        <v>0</v>
      </c>
      <c r="O137" s="7">
        <f>+VACANTES!J144</f>
        <v>0</v>
      </c>
      <c r="P137" s="7">
        <f>+VACANTES!K144</f>
        <v>0</v>
      </c>
      <c r="Q137" s="7">
        <f>+VACANTES!L144</f>
        <v>0</v>
      </c>
      <c r="R137" s="7">
        <f>+VACANTES!N144</f>
        <v>0</v>
      </c>
      <c r="S137" s="2">
        <f t="shared" si="207"/>
        <v>0</v>
      </c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7"/>
      <c r="C138" s="7"/>
      <c r="D138" s="2"/>
      <c r="E138" s="3"/>
      <c r="F138" s="3"/>
      <c r="G138" s="24"/>
      <c r="H138" s="7"/>
      <c r="I138" s="7"/>
      <c r="J138" s="7"/>
      <c r="K138" s="7"/>
      <c r="L138" s="112"/>
      <c r="M138" s="7"/>
      <c r="N138" s="7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33" t="s">
        <v>776</v>
      </c>
      <c r="B139" s="14"/>
      <c r="C139" s="14"/>
      <c r="D139" s="3"/>
      <c r="E139" s="3"/>
      <c r="F139" s="3"/>
      <c r="G139" s="24" t="str">
        <f t="shared" ref="G139:G140" si="220">IF(D139="","",VLOOKUP(MID(A139,1,7),#REF!,3,FALSE))</f>
        <v/>
      </c>
      <c r="H139" s="7"/>
      <c r="I139" s="7"/>
      <c r="J139" s="7"/>
      <c r="K139" s="7"/>
      <c r="L139" s="112"/>
      <c r="M139" s="7"/>
      <c r="N139" s="7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14"/>
      <c r="B140" s="14"/>
      <c r="C140" s="14"/>
      <c r="D140" s="3"/>
      <c r="E140" s="3"/>
      <c r="F140" s="3"/>
      <c r="G140" s="24" t="str">
        <f t="shared" si="220"/>
        <v/>
      </c>
      <c r="H140" s="445" t="s">
        <v>7</v>
      </c>
      <c r="I140" s="404"/>
      <c r="J140" s="445" t="s">
        <v>8</v>
      </c>
      <c r="K140" s="404"/>
      <c r="L140" s="110"/>
      <c r="M140" s="14"/>
      <c r="N140" s="7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3" t="s">
        <v>11</v>
      </c>
      <c r="B141" s="14" t="s">
        <v>12</v>
      </c>
      <c r="C141" s="14" t="s">
        <v>13</v>
      </c>
      <c r="D141" s="3" t="s">
        <v>14</v>
      </c>
      <c r="E141" s="3" t="s">
        <v>15</v>
      </c>
      <c r="F141" s="3"/>
      <c r="G141" s="26" t="s">
        <v>16</v>
      </c>
      <c r="H141" s="14" t="s">
        <v>688</v>
      </c>
      <c r="I141" s="14" t="s">
        <v>681</v>
      </c>
      <c r="J141" s="14" t="s">
        <v>688</v>
      </c>
      <c r="K141" s="14" t="s">
        <v>681</v>
      </c>
      <c r="L141" s="110"/>
      <c r="M141" s="14" t="str">
        <f>+VACANTES!H150</f>
        <v>UA05</v>
      </c>
      <c r="N141" s="14" t="str">
        <f>+VACANTES!I150</f>
        <v>UA11</v>
      </c>
      <c r="O141" s="14" t="str">
        <f>+VACANTES!J150</f>
        <v>UA07</v>
      </c>
      <c r="P141" s="14" t="str">
        <f>+VACANTES!K150</f>
        <v>FG</v>
      </c>
      <c r="Q141" s="14" t="str">
        <f>+VACANTES!L150</f>
        <v>INTERC.</v>
      </c>
      <c r="R141" s="14" t="str">
        <f>+VACANTES!N150</f>
        <v>TOTAL</v>
      </c>
      <c r="S141" s="3" t="s">
        <v>22</v>
      </c>
      <c r="T141" s="2"/>
      <c r="U141" s="2"/>
      <c r="V141" s="2"/>
      <c r="W141" s="2"/>
      <c r="X141" s="2"/>
      <c r="Y141" s="2"/>
      <c r="Z141" s="2"/>
    </row>
    <row r="142" spans="1:26" ht="15.75" customHeight="1">
      <c r="A142" s="24" t="e">
        <f t="shared" ref="A142:E142" si="221">+#REF!</f>
        <v>#REF!</v>
      </c>
      <c r="B142" s="24" t="e">
        <f t="shared" si="221"/>
        <v>#REF!</v>
      </c>
      <c r="C142" s="24" t="e">
        <f t="shared" si="221"/>
        <v>#REF!</v>
      </c>
      <c r="D142" s="24" t="e">
        <f t="shared" si="221"/>
        <v>#REF!</v>
      </c>
      <c r="E142" s="24" t="e">
        <f t="shared" si="221"/>
        <v>#REF!</v>
      </c>
      <c r="F142" s="2"/>
      <c r="G142" s="24" t="e">
        <f t="shared" ref="G142:G169" si="222">IF(D142="","",VLOOKUP(MID(A142,1,7),#REF!,3,FALSE))</f>
        <v>#REF!</v>
      </c>
      <c r="H142" s="7" t="e">
        <f t="shared" ref="H142:K142" si="223">+#REF!</f>
        <v>#REF!</v>
      </c>
      <c r="I142" s="7" t="e">
        <f t="shared" si="223"/>
        <v>#REF!</v>
      </c>
      <c r="J142" s="7" t="e">
        <f t="shared" si="223"/>
        <v>#REF!</v>
      </c>
      <c r="K142" s="7" t="e">
        <f t="shared" si="223"/>
        <v>#REF!</v>
      </c>
      <c r="L142" s="112"/>
      <c r="M142" s="7">
        <f>+VACANTES!H151</f>
        <v>20</v>
      </c>
      <c r="N142" s="7">
        <f>+VACANTES!I151</f>
        <v>0</v>
      </c>
      <c r="O142" s="7">
        <f>+VACANTES!J151</f>
        <v>0</v>
      </c>
      <c r="P142" s="7">
        <f>+VACANTES!K151</f>
        <v>0</v>
      </c>
      <c r="Q142" s="7">
        <f>+VACANTES!L151</f>
        <v>0</v>
      </c>
      <c r="R142" s="7">
        <f>+VACANTES!N151</f>
        <v>20</v>
      </c>
      <c r="S142" s="2">
        <f t="shared" ref="S142:S157" si="224">+R142-Q142</f>
        <v>20</v>
      </c>
      <c r="T142" s="2"/>
      <c r="U142" s="2"/>
      <c r="V142" s="2"/>
      <c r="W142" s="2"/>
      <c r="X142" s="2"/>
      <c r="Y142" s="2"/>
      <c r="Z142" s="2"/>
    </row>
    <row r="143" spans="1:26" ht="15.75" customHeight="1">
      <c r="A143" s="24" t="e">
        <f t="shared" ref="A143:E143" si="225">+#REF!</f>
        <v>#REF!</v>
      </c>
      <c r="B143" s="24" t="e">
        <f t="shared" si="225"/>
        <v>#REF!</v>
      </c>
      <c r="C143" s="24" t="e">
        <f t="shared" si="225"/>
        <v>#REF!</v>
      </c>
      <c r="D143" s="24" t="e">
        <f t="shared" si="225"/>
        <v>#REF!</v>
      </c>
      <c r="E143" s="24" t="e">
        <f t="shared" si="225"/>
        <v>#REF!</v>
      </c>
      <c r="F143" s="2"/>
      <c r="G143" s="24" t="e">
        <f t="shared" si="222"/>
        <v>#REF!</v>
      </c>
      <c r="H143" s="7" t="e">
        <f t="shared" ref="H143:K143" si="226">+#REF!</f>
        <v>#REF!</v>
      </c>
      <c r="I143" s="7" t="e">
        <f t="shared" si="226"/>
        <v>#REF!</v>
      </c>
      <c r="J143" s="7" t="e">
        <f t="shared" si="226"/>
        <v>#REF!</v>
      </c>
      <c r="K143" s="7" t="e">
        <f t="shared" si="226"/>
        <v>#REF!</v>
      </c>
      <c r="L143" s="112"/>
      <c r="M143" s="7">
        <f>+VACANTES!H152</f>
        <v>20</v>
      </c>
      <c r="N143" s="7">
        <f>+VACANTES!I152</f>
        <v>0</v>
      </c>
      <c r="O143" s="7">
        <f>+VACANTES!J152</f>
        <v>0</v>
      </c>
      <c r="P143" s="7">
        <f>+VACANTES!K152</f>
        <v>0</v>
      </c>
      <c r="Q143" s="7">
        <f>+VACANTES!L152</f>
        <v>0</v>
      </c>
      <c r="R143" s="7">
        <f>+VACANTES!N152</f>
        <v>20</v>
      </c>
      <c r="S143" s="2">
        <f t="shared" si="224"/>
        <v>20</v>
      </c>
      <c r="T143" s="2"/>
      <c r="U143" s="2"/>
      <c r="V143" s="2"/>
      <c r="W143" s="2"/>
      <c r="X143" s="2"/>
      <c r="Y143" s="2"/>
      <c r="Z143" s="2"/>
    </row>
    <row r="144" spans="1:26" ht="15.75" customHeight="1">
      <c r="A144" s="24" t="e">
        <f t="shared" ref="A144:E144" si="227">+#REF!</f>
        <v>#REF!</v>
      </c>
      <c r="B144" s="24" t="e">
        <f t="shared" si="227"/>
        <v>#REF!</v>
      </c>
      <c r="C144" s="24" t="e">
        <f t="shared" si="227"/>
        <v>#REF!</v>
      </c>
      <c r="D144" s="24" t="e">
        <f t="shared" si="227"/>
        <v>#REF!</v>
      </c>
      <c r="E144" s="24" t="e">
        <f t="shared" si="227"/>
        <v>#REF!</v>
      </c>
      <c r="F144" s="2"/>
      <c r="G144" s="24" t="e">
        <f t="shared" si="222"/>
        <v>#REF!</v>
      </c>
      <c r="H144" s="7" t="e">
        <f t="shared" ref="H144:K144" si="228">+#REF!</f>
        <v>#REF!</v>
      </c>
      <c r="I144" s="7" t="e">
        <f t="shared" si="228"/>
        <v>#REF!</v>
      </c>
      <c r="J144" s="7" t="e">
        <f t="shared" si="228"/>
        <v>#REF!</v>
      </c>
      <c r="K144" s="7" t="e">
        <f t="shared" si="228"/>
        <v>#REF!</v>
      </c>
      <c r="L144" s="112"/>
      <c r="M144" s="7">
        <f>+VACANTES!H153</f>
        <v>20</v>
      </c>
      <c r="N144" s="7">
        <f>+VACANTES!I153</f>
        <v>0</v>
      </c>
      <c r="O144" s="7">
        <f>+VACANTES!J153</f>
        <v>0</v>
      </c>
      <c r="P144" s="7">
        <f>+VACANTES!K153</f>
        <v>0</v>
      </c>
      <c r="Q144" s="7">
        <f>+VACANTES!L153</f>
        <v>0</v>
      </c>
      <c r="R144" s="7">
        <f>+VACANTES!N153</f>
        <v>20</v>
      </c>
      <c r="S144" s="2">
        <f t="shared" si="224"/>
        <v>20</v>
      </c>
      <c r="T144" s="2"/>
      <c r="U144" s="2"/>
      <c r="V144" s="2"/>
      <c r="W144" s="2"/>
      <c r="X144" s="2"/>
      <c r="Y144" s="2"/>
      <c r="Z144" s="2"/>
    </row>
    <row r="145" spans="1:26" ht="15.75" customHeight="1">
      <c r="A145" s="24" t="e">
        <f t="shared" ref="A145:E145" si="229">+#REF!</f>
        <v>#REF!</v>
      </c>
      <c r="B145" s="24" t="e">
        <f t="shared" si="229"/>
        <v>#REF!</v>
      </c>
      <c r="C145" s="24" t="e">
        <f t="shared" si="229"/>
        <v>#REF!</v>
      </c>
      <c r="D145" s="24" t="e">
        <f t="shared" si="229"/>
        <v>#REF!</v>
      </c>
      <c r="E145" s="24" t="e">
        <f t="shared" si="229"/>
        <v>#REF!</v>
      </c>
      <c r="F145" s="2" t="s">
        <v>777</v>
      </c>
      <c r="G145" s="24" t="e">
        <f t="shared" si="222"/>
        <v>#REF!</v>
      </c>
      <c r="H145" s="7" t="e">
        <f t="shared" ref="H145:K145" si="230">+#REF!</f>
        <v>#REF!</v>
      </c>
      <c r="I145" s="7" t="e">
        <f t="shared" si="230"/>
        <v>#REF!</v>
      </c>
      <c r="J145" s="7" t="e">
        <f t="shared" si="230"/>
        <v>#REF!</v>
      </c>
      <c r="K145" s="7" t="e">
        <f t="shared" si="230"/>
        <v>#REF!</v>
      </c>
      <c r="L145" s="112"/>
      <c r="M145" s="7">
        <f>+VACANTES!H154</f>
        <v>40</v>
      </c>
      <c r="N145" s="7">
        <f>+VACANTES!I154</f>
        <v>0</v>
      </c>
      <c r="O145" s="7">
        <f>+VACANTES!J154</f>
        <v>0</v>
      </c>
      <c r="P145" s="7">
        <f>+VACANTES!K154</f>
        <v>5</v>
      </c>
      <c r="Q145" s="7">
        <f>+VACANTES!L154</f>
        <v>0</v>
      </c>
      <c r="R145" s="7">
        <f>+VACANTES!N154</f>
        <v>45</v>
      </c>
      <c r="S145" s="2">
        <f t="shared" si="224"/>
        <v>45</v>
      </c>
      <c r="T145" s="2"/>
      <c r="U145" s="2"/>
      <c r="V145" s="2"/>
      <c r="W145" s="2"/>
      <c r="X145" s="2"/>
      <c r="Y145" s="2"/>
      <c r="Z145" s="2"/>
    </row>
    <row r="146" spans="1:26" ht="15.75" customHeight="1">
      <c r="A146" s="24" t="e">
        <f t="shared" ref="A146:E146" si="231">+#REF!</f>
        <v>#REF!</v>
      </c>
      <c r="B146" s="24" t="e">
        <f t="shared" si="231"/>
        <v>#REF!</v>
      </c>
      <c r="C146" s="24" t="e">
        <f t="shared" si="231"/>
        <v>#REF!</v>
      </c>
      <c r="D146" s="24" t="e">
        <f t="shared" si="231"/>
        <v>#REF!</v>
      </c>
      <c r="E146" s="24" t="e">
        <f t="shared" si="231"/>
        <v>#REF!</v>
      </c>
      <c r="F146" s="2" t="s">
        <v>778</v>
      </c>
      <c r="G146" s="24" t="e">
        <f t="shared" si="222"/>
        <v>#REF!</v>
      </c>
      <c r="H146" s="7" t="e">
        <f t="shared" ref="H146:K146" si="232">+#REF!</f>
        <v>#REF!</v>
      </c>
      <c r="I146" s="7" t="e">
        <f t="shared" si="232"/>
        <v>#REF!</v>
      </c>
      <c r="J146" s="7" t="e">
        <f t="shared" si="232"/>
        <v>#REF!</v>
      </c>
      <c r="K146" s="7" t="e">
        <f t="shared" si="232"/>
        <v>#REF!</v>
      </c>
      <c r="L146" s="112"/>
      <c r="M146" s="7">
        <f>+VACANTES!H155</f>
        <v>15</v>
      </c>
      <c r="N146" s="7">
        <f>+VACANTES!I155</f>
        <v>0</v>
      </c>
      <c r="O146" s="7">
        <f>+VACANTES!J155</f>
        <v>0</v>
      </c>
      <c r="P146" s="7">
        <f>+VACANTES!K155</f>
        <v>0</v>
      </c>
      <c r="Q146" s="7">
        <f>+VACANTES!L155</f>
        <v>0</v>
      </c>
      <c r="R146" s="7">
        <f>+VACANTES!N155</f>
        <v>15</v>
      </c>
      <c r="S146" s="2">
        <f t="shared" si="224"/>
        <v>15</v>
      </c>
      <c r="T146" s="2"/>
      <c r="U146" s="2"/>
      <c r="V146" s="2"/>
      <c r="W146" s="2"/>
      <c r="X146" s="2"/>
      <c r="Y146" s="2"/>
      <c r="Z146" s="2"/>
    </row>
    <row r="147" spans="1:26" ht="15.75" customHeight="1">
      <c r="A147" s="24" t="e">
        <f t="shared" ref="A147:E147" si="233">+#REF!</f>
        <v>#REF!</v>
      </c>
      <c r="B147" s="24" t="e">
        <f t="shared" si="233"/>
        <v>#REF!</v>
      </c>
      <c r="C147" s="24" t="e">
        <f t="shared" si="233"/>
        <v>#REF!</v>
      </c>
      <c r="D147" s="24" t="e">
        <f t="shared" si="233"/>
        <v>#REF!</v>
      </c>
      <c r="E147" s="24" t="e">
        <f t="shared" si="233"/>
        <v>#REF!</v>
      </c>
      <c r="F147" s="2" t="s">
        <v>779</v>
      </c>
      <c r="G147" s="24" t="e">
        <f t="shared" si="222"/>
        <v>#REF!</v>
      </c>
      <c r="H147" s="7" t="e">
        <f t="shared" ref="H147:K147" si="234">+#REF!</f>
        <v>#REF!</v>
      </c>
      <c r="I147" s="7" t="e">
        <f t="shared" si="234"/>
        <v>#REF!</v>
      </c>
      <c r="J147" s="7" t="e">
        <f t="shared" si="234"/>
        <v>#REF!</v>
      </c>
      <c r="K147" s="7" t="e">
        <f t="shared" si="234"/>
        <v>#REF!</v>
      </c>
      <c r="L147" s="112"/>
      <c r="M147" s="7">
        <f>+VACANTES!H156</f>
        <v>40</v>
      </c>
      <c r="N147" s="7">
        <f>+VACANTES!I156</f>
        <v>0</v>
      </c>
      <c r="O147" s="7">
        <f>+VACANTES!J156</f>
        <v>0</v>
      </c>
      <c r="P147" s="7">
        <f>+VACANTES!K156</f>
        <v>5</v>
      </c>
      <c r="Q147" s="7">
        <f>+VACANTES!L156</f>
        <v>0</v>
      </c>
      <c r="R147" s="7">
        <f>+VACANTES!N156</f>
        <v>45</v>
      </c>
      <c r="S147" s="2">
        <f t="shared" si="224"/>
        <v>45</v>
      </c>
      <c r="T147" s="2"/>
      <c r="U147" s="2"/>
      <c r="V147" s="2"/>
      <c r="W147" s="2"/>
      <c r="X147" s="2"/>
      <c r="Y147" s="2"/>
      <c r="Z147" s="2"/>
    </row>
    <row r="148" spans="1:26" ht="15.75" customHeight="1">
      <c r="A148" s="24" t="e">
        <f t="shared" ref="A148:E148" si="235">+#REF!</f>
        <v>#REF!</v>
      </c>
      <c r="B148" s="24" t="e">
        <f t="shared" si="235"/>
        <v>#REF!</v>
      </c>
      <c r="C148" s="24" t="e">
        <f t="shared" si="235"/>
        <v>#REF!</v>
      </c>
      <c r="D148" s="24" t="e">
        <f t="shared" si="235"/>
        <v>#REF!</v>
      </c>
      <c r="E148" s="24" t="e">
        <f t="shared" si="235"/>
        <v>#REF!</v>
      </c>
      <c r="F148" s="2" t="s">
        <v>755</v>
      </c>
      <c r="G148" s="24" t="e">
        <f t="shared" si="222"/>
        <v>#REF!</v>
      </c>
      <c r="H148" s="7" t="e">
        <f t="shared" ref="H148:K148" si="236">+#REF!</f>
        <v>#REF!</v>
      </c>
      <c r="I148" s="7" t="e">
        <f t="shared" si="236"/>
        <v>#REF!</v>
      </c>
      <c r="J148" s="7" t="e">
        <f t="shared" si="236"/>
        <v>#REF!</v>
      </c>
      <c r="K148" s="7" t="e">
        <f t="shared" si="236"/>
        <v>#REF!</v>
      </c>
      <c r="L148" s="112"/>
      <c r="M148" s="7">
        <f>+VACANTES!H157</f>
        <v>15</v>
      </c>
      <c r="N148" s="7">
        <f>+VACANTES!I157</f>
        <v>0</v>
      </c>
      <c r="O148" s="7">
        <f>+VACANTES!J157</f>
        <v>0</v>
      </c>
      <c r="P148" s="7">
        <f>+VACANTES!K157</f>
        <v>0</v>
      </c>
      <c r="Q148" s="7">
        <f>+VACANTES!L157</f>
        <v>0</v>
      </c>
      <c r="R148" s="7">
        <f>+VACANTES!N157</f>
        <v>15</v>
      </c>
      <c r="S148" s="2">
        <f t="shared" si="224"/>
        <v>15</v>
      </c>
      <c r="T148" s="2"/>
      <c r="U148" s="2"/>
      <c r="V148" s="2"/>
      <c r="W148" s="2"/>
      <c r="X148" s="2"/>
      <c r="Y148" s="2"/>
      <c r="Z148" s="2"/>
    </row>
    <row r="149" spans="1:26" ht="15.75" customHeight="1">
      <c r="A149" s="24" t="e">
        <f t="shared" ref="A149:E149" si="237">+#REF!</f>
        <v>#REF!</v>
      </c>
      <c r="B149" s="24" t="e">
        <f t="shared" si="237"/>
        <v>#REF!</v>
      </c>
      <c r="C149" s="24" t="e">
        <f t="shared" si="237"/>
        <v>#REF!</v>
      </c>
      <c r="D149" s="24" t="e">
        <f t="shared" si="237"/>
        <v>#REF!</v>
      </c>
      <c r="E149" s="24" t="e">
        <f t="shared" si="237"/>
        <v>#REF!</v>
      </c>
      <c r="F149" s="2" t="s">
        <v>780</v>
      </c>
      <c r="G149" s="24" t="e">
        <f t="shared" si="222"/>
        <v>#REF!</v>
      </c>
      <c r="H149" s="7" t="e">
        <f t="shared" ref="H149:K149" si="238">+#REF!</f>
        <v>#REF!</v>
      </c>
      <c r="I149" s="7" t="e">
        <f t="shared" si="238"/>
        <v>#REF!</v>
      </c>
      <c r="J149" s="7" t="e">
        <f t="shared" si="238"/>
        <v>#REF!</v>
      </c>
      <c r="K149" s="7" t="e">
        <f t="shared" si="238"/>
        <v>#REF!</v>
      </c>
      <c r="L149" s="112"/>
      <c r="M149" s="7">
        <f>+VACANTES!H158</f>
        <v>40</v>
      </c>
      <c r="N149" s="7">
        <f>+VACANTES!I158</f>
        <v>0</v>
      </c>
      <c r="O149" s="7">
        <f>+VACANTES!J158</f>
        <v>0</v>
      </c>
      <c r="P149" s="7">
        <f>+VACANTES!K158</f>
        <v>5</v>
      </c>
      <c r="Q149" s="7">
        <f>+VACANTES!L158</f>
        <v>0</v>
      </c>
      <c r="R149" s="7">
        <f>+VACANTES!N158</f>
        <v>45</v>
      </c>
      <c r="S149" s="2">
        <f t="shared" si="224"/>
        <v>45</v>
      </c>
      <c r="T149" s="2"/>
      <c r="U149" s="2"/>
      <c r="V149" s="2"/>
      <c r="W149" s="2"/>
      <c r="X149" s="2"/>
      <c r="Y149" s="2"/>
      <c r="Z149" s="2"/>
    </row>
    <row r="150" spans="1:26" ht="15.75" customHeight="1">
      <c r="A150" s="24" t="e">
        <f t="shared" ref="A150:E150" si="239">+#REF!</f>
        <v>#REF!</v>
      </c>
      <c r="B150" s="24" t="e">
        <f t="shared" si="239"/>
        <v>#REF!</v>
      </c>
      <c r="C150" s="24" t="e">
        <f t="shared" si="239"/>
        <v>#REF!</v>
      </c>
      <c r="D150" s="24" t="e">
        <f t="shared" si="239"/>
        <v>#REF!</v>
      </c>
      <c r="E150" s="24" t="e">
        <f t="shared" si="239"/>
        <v>#REF!</v>
      </c>
      <c r="F150" s="2" t="s">
        <v>781</v>
      </c>
      <c r="G150" s="24" t="e">
        <f t="shared" si="222"/>
        <v>#REF!</v>
      </c>
      <c r="H150" s="7" t="e">
        <f t="shared" ref="H150:K150" si="240">+#REF!</f>
        <v>#REF!</v>
      </c>
      <c r="I150" s="7" t="e">
        <f t="shared" si="240"/>
        <v>#REF!</v>
      </c>
      <c r="J150" s="7" t="e">
        <f t="shared" si="240"/>
        <v>#REF!</v>
      </c>
      <c r="K150" s="7" t="e">
        <f t="shared" si="240"/>
        <v>#REF!</v>
      </c>
      <c r="L150" s="112"/>
      <c r="M150" s="7">
        <f>+VACANTES!H159</f>
        <v>20</v>
      </c>
      <c r="N150" s="7">
        <f>+VACANTES!I159</f>
        <v>0</v>
      </c>
      <c r="O150" s="7">
        <f>+VACANTES!J159</f>
        <v>0</v>
      </c>
      <c r="P150" s="7">
        <f>+VACANTES!K159</f>
        <v>0</v>
      </c>
      <c r="Q150" s="7">
        <f>+VACANTES!L159</f>
        <v>0</v>
      </c>
      <c r="R150" s="7">
        <f>+VACANTES!N159</f>
        <v>20</v>
      </c>
      <c r="S150" s="2">
        <f t="shared" si="224"/>
        <v>20</v>
      </c>
      <c r="T150" s="2"/>
      <c r="U150" s="2"/>
      <c r="V150" s="2"/>
      <c r="W150" s="2"/>
      <c r="X150" s="2"/>
      <c r="Y150" s="2"/>
      <c r="Z150" s="2"/>
    </row>
    <row r="151" spans="1:26" ht="15.75" customHeight="1">
      <c r="A151" s="24" t="e">
        <f t="shared" ref="A151:E151" si="241">+#REF!</f>
        <v>#REF!</v>
      </c>
      <c r="B151" s="24" t="e">
        <f t="shared" si="241"/>
        <v>#REF!</v>
      </c>
      <c r="C151" s="24" t="e">
        <f t="shared" si="241"/>
        <v>#REF!</v>
      </c>
      <c r="D151" s="24" t="e">
        <f t="shared" si="241"/>
        <v>#REF!</v>
      </c>
      <c r="E151" s="24" t="e">
        <f t="shared" si="241"/>
        <v>#REF!</v>
      </c>
      <c r="F151" s="2" t="s">
        <v>774</v>
      </c>
      <c r="G151" s="24" t="e">
        <f t="shared" si="222"/>
        <v>#REF!</v>
      </c>
      <c r="H151" s="7" t="e">
        <f t="shared" ref="H151:K151" si="242">+#REF!</f>
        <v>#REF!</v>
      </c>
      <c r="I151" s="7" t="e">
        <f t="shared" si="242"/>
        <v>#REF!</v>
      </c>
      <c r="J151" s="7" t="e">
        <f t="shared" si="242"/>
        <v>#REF!</v>
      </c>
      <c r="K151" s="7" t="e">
        <f t="shared" si="242"/>
        <v>#REF!</v>
      </c>
      <c r="L151" s="112"/>
      <c r="M151" s="7">
        <f>+VACANTES!H160</f>
        <v>40</v>
      </c>
      <c r="N151" s="7">
        <f>+VACANTES!I160</f>
        <v>0</v>
      </c>
      <c r="O151" s="7">
        <f>+VACANTES!J160</f>
        <v>0</v>
      </c>
      <c r="P151" s="7">
        <f>+VACANTES!K160</f>
        <v>0</v>
      </c>
      <c r="Q151" s="7">
        <f>+VACANTES!L160</f>
        <v>0</v>
      </c>
      <c r="R151" s="7">
        <f>+VACANTES!N160</f>
        <v>40</v>
      </c>
      <c r="S151" s="2">
        <f t="shared" si="224"/>
        <v>40</v>
      </c>
      <c r="T151" s="2"/>
      <c r="U151" s="2"/>
      <c r="V151" s="2"/>
      <c r="W151" s="2"/>
      <c r="X151" s="2"/>
      <c r="Y151" s="2"/>
      <c r="Z151" s="2"/>
    </row>
    <row r="152" spans="1:26" ht="15.75" customHeight="1">
      <c r="A152" s="24" t="e">
        <f t="shared" ref="A152:E152" si="243">+#REF!</f>
        <v>#REF!</v>
      </c>
      <c r="B152" s="24" t="e">
        <f t="shared" si="243"/>
        <v>#REF!</v>
      </c>
      <c r="C152" s="24" t="e">
        <f t="shared" si="243"/>
        <v>#REF!</v>
      </c>
      <c r="D152" s="24" t="e">
        <f t="shared" si="243"/>
        <v>#REF!</v>
      </c>
      <c r="E152" s="24" t="e">
        <f t="shared" si="243"/>
        <v>#REF!</v>
      </c>
      <c r="F152" s="2" t="s">
        <v>782</v>
      </c>
      <c r="G152" s="24" t="e">
        <f t="shared" si="222"/>
        <v>#REF!</v>
      </c>
      <c r="H152" s="7" t="e">
        <f t="shared" ref="H152:K152" si="244">+#REF!</f>
        <v>#REF!</v>
      </c>
      <c r="I152" s="7" t="e">
        <f t="shared" si="244"/>
        <v>#REF!</v>
      </c>
      <c r="J152" s="7" t="e">
        <f t="shared" si="244"/>
        <v>#REF!</v>
      </c>
      <c r="K152" s="7" t="e">
        <f t="shared" si="244"/>
        <v>#REF!</v>
      </c>
      <c r="L152" s="112"/>
      <c r="M152" s="7">
        <f>+VACANTES!H161</f>
        <v>40</v>
      </c>
      <c r="N152" s="7">
        <f>+VACANTES!I161</f>
        <v>0</v>
      </c>
      <c r="O152" s="7">
        <f>+VACANTES!J161</f>
        <v>0</v>
      </c>
      <c r="P152" s="7">
        <f>+VACANTES!K161</f>
        <v>0</v>
      </c>
      <c r="Q152" s="7">
        <f>+VACANTES!L161</f>
        <v>0</v>
      </c>
      <c r="R152" s="7">
        <f>+VACANTES!N161</f>
        <v>40</v>
      </c>
      <c r="S152" s="2">
        <f t="shared" si="224"/>
        <v>40</v>
      </c>
      <c r="T152" s="2"/>
      <c r="U152" s="2"/>
      <c r="V152" s="2"/>
      <c r="W152" s="2"/>
      <c r="X152" s="2"/>
      <c r="Y152" s="2"/>
      <c r="Z152" s="2"/>
    </row>
    <row r="153" spans="1:26" ht="15.75" customHeight="1">
      <c r="A153" s="24" t="e">
        <f t="shared" ref="A153:E153" si="245">+#REF!</f>
        <v>#REF!</v>
      </c>
      <c r="B153" s="24" t="e">
        <f t="shared" si="245"/>
        <v>#REF!</v>
      </c>
      <c r="C153" s="24" t="e">
        <f t="shared" si="245"/>
        <v>#REF!</v>
      </c>
      <c r="D153" s="24" t="e">
        <f t="shared" si="245"/>
        <v>#REF!</v>
      </c>
      <c r="E153" s="24" t="e">
        <f t="shared" si="245"/>
        <v>#REF!</v>
      </c>
      <c r="F153" s="2" t="s">
        <v>760</v>
      </c>
      <c r="G153" s="24" t="e">
        <f t="shared" si="222"/>
        <v>#REF!</v>
      </c>
      <c r="H153" s="7" t="e">
        <f t="shared" ref="H153:K153" si="246">+#REF!</f>
        <v>#REF!</v>
      </c>
      <c r="I153" s="7" t="e">
        <f t="shared" si="246"/>
        <v>#REF!</v>
      </c>
      <c r="J153" s="7" t="e">
        <f t="shared" si="246"/>
        <v>#REF!</v>
      </c>
      <c r="K153" s="7" t="e">
        <f t="shared" si="246"/>
        <v>#REF!</v>
      </c>
      <c r="L153" s="112"/>
      <c r="M153" s="7">
        <f>+VACANTES!H162</f>
        <v>40</v>
      </c>
      <c r="N153" s="7">
        <f>+VACANTES!I162</f>
        <v>0</v>
      </c>
      <c r="O153" s="7">
        <f>+VACANTES!J162</f>
        <v>0</v>
      </c>
      <c r="P153" s="7">
        <f>+VACANTES!K162</f>
        <v>5</v>
      </c>
      <c r="Q153" s="7">
        <f>+VACANTES!L162</f>
        <v>0</v>
      </c>
      <c r="R153" s="7">
        <f>+VACANTES!N162</f>
        <v>45</v>
      </c>
      <c r="S153" s="2">
        <f t="shared" si="224"/>
        <v>45</v>
      </c>
      <c r="T153" s="2"/>
      <c r="U153" s="2"/>
      <c r="V153" s="2"/>
      <c r="W153" s="2"/>
      <c r="X153" s="2"/>
      <c r="Y153" s="2"/>
      <c r="Z153" s="2"/>
    </row>
    <row r="154" spans="1:26" ht="15.75" customHeight="1">
      <c r="A154" s="24" t="e">
        <f t="shared" ref="A154:E154" si="247">+#REF!</f>
        <v>#REF!</v>
      </c>
      <c r="B154" s="24" t="e">
        <f t="shared" si="247"/>
        <v>#REF!</v>
      </c>
      <c r="C154" s="24" t="e">
        <f t="shared" si="247"/>
        <v>#REF!</v>
      </c>
      <c r="D154" s="24" t="e">
        <f t="shared" si="247"/>
        <v>#REF!</v>
      </c>
      <c r="E154" s="24" t="e">
        <f t="shared" si="247"/>
        <v>#REF!</v>
      </c>
      <c r="F154" s="2" t="s">
        <v>783</v>
      </c>
      <c r="G154" s="24" t="e">
        <f t="shared" si="222"/>
        <v>#REF!</v>
      </c>
      <c r="H154" s="7" t="e">
        <f t="shared" ref="H154:K154" si="248">+#REF!</f>
        <v>#REF!</v>
      </c>
      <c r="I154" s="7" t="e">
        <f t="shared" si="248"/>
        <v>#REF!</v>
      </c>
      <c r="J154" s="7" t="e">
        <f t="shared" si="248"/>
        <v>#REF!</v>
      </c>
      <c r="K154" s="7" t="e">
        <f t="shared" si="248"/>
        <v>#REF!</v>
      </c>
      <c r="L154" s="112"/>
      <c r="M154" s="7">
        <f>+VACANTES!H163</f>
        <v>15</v>
      </c>
      <c r="N154" s="7">
        <f>+VACANTES!I163</f>
        <v>0</v>
      </c>
      <c r="O154" s="7">
        <f>+VACANTES!J163</f>
        <v>0</v>
      </c>
      <c r="P154" s="7">
        <f>+VACANTES!K163</f>
        <v>0</v>
      </c>
      <c r="Q154" s="7">
        <f>+VACANTES!L163</f>
        <v>0</v>
      </c>
      <c r="R154" s="7">
        <f>+VACANTES!N163</f>
        <v>15</v>
      </c>
      <c r="S154" s="2">
        <f t="shared" si="224"/>
        <v>15</v>
      </c>
      <c r="T154" s="2"/>
      <c r="U154" s="2"/>
      <c r="V154" s="2"/>
      <c r="W154" s="2"/>
      <c r="X154" s="2"/>
      <c r="Y154" s="2"/>
      <c r="Z154" s="2"/>
    </row>
    <row r="155" spans="1:26" ht="15.75" customHeight="1">
      <c r="A155" s="24" t="e">
        <f t="shared" ref="A155:E155" si="249">+#REF!</f>
        <v>#REF!</v>
      </c>
      <c r="B155" s="24" t="e">
        <f t="shared" si="249"/>
        <v>#REF!</v>
      </c>
      <c r="C155" s="24" t="e">
        <f t="shared" si="249"/>
        <v>#REF!</v>
      </c>
      <c r="D155" s="24" t="e">
        <f t="shared" si="249"/>
        <v>#REF!</v>
      </c>
      <c r="E155" s="24" t="e">
        <f t="shared" si="249"/>
        <v>#REF!</v>
      </c>
      <c r="F155" s="2" t="str">
        <f>+F109</f>
        <v>12645487-2</v>
      </c>
      <c r="G155" s="24" t="e">
        <f t="shared" si="222"/>
        <v>#REF!</v>
      </c>
      <c r="H155" s="7" t="e">
        <f t="shared" ref="H155:K155" si="250">+#REF!</f>
        <v>#REF!</v>
      </c>
      <c r="I155" s="7" t="e">
        <f t="shared" si="250"/>
        <v>#REF!</v>
      </c>
      <c r="J155" s="7" t="e">
        <f t="shared" si="250"/>
        <v>#REF!</v>
      </c>
      <c r="K155" s="7" t="e">
        <f t="shared" si="250"/>
        <v>#REF!</v>
      </c>
      <c r="L155" s="112"/>
      <c r="M155" s="7">
        <f>+VACANTES!H164</f>
        <v>40</v>
      </c>
      <c r="N155" s="7">
        <f>+VACANTES!I164</f>
        <v>0</v>
      </c>
      <c r="O155" s="7">
        <f>+VACANTES!J164</f>
        <v>0</v>
      </c>
      <c r="P155" s="7">
        <f>+VACANTES!K164</f>
        <v>0</v>
      </c>
      <c r="Q155" s="7">
        <f>+VACANTES!L164</f>
        <v>0</v>
      </c>
      <c r="R155" s="7">
        <f>+VACANTES!N164</f>
        <v>40</v>
      </c>
      <c r="S155" s="2">
        <f t="shared" si="224"/>
        <v>40</v>
      </c>
      <c r="T155" s="2"/>
      <c r="U155" s="2"/>
      <c r="V155" s="2"/>
      <c r="W155" s="2"/>
      <c r="X155" s="2"/>
      <c r="Y155" s="2"/>
      <c r="Z155" s="2"/>
    </row>
    <row r="156" spans="1:26" ht="15.75" customHeight="1">
      <c r="A156" s="24" t="e">
        <f t="shared" ref="A156:E156" si="251">+#REF!</f>
        <v>#REF!</v>
      </c>
      <c r="B156" s="24" t="e">
        <f t="shared" si="251"/>
        <v>#REF!</v>
      </c>
      <c r="C156" s="24" t="e">
        <f t="shared" si="251"/>
        <v>#REF!</v>
      </c>
      <c r="D156" s="24" t="e">
        <f t="shared" si="251"/>
        <v>#REF!</v>
      </c>
      <c r="E156" s="24" t="e">
        <f t="shared" si="251"/>
        <v>#REF!</v>
      </c>
      <c r="F156" s="2" t="s">
        <v>784</v>
      </c>
      <c r="G156" s="24" t="e">
        <f t="shared" si="222"/>
        <v>#REF!</v>
      </c>
      <c r="H156" s="7" t="e">
        <f t="shared" ref="H156:K156" si="252">+#REF!</f>
        <v>#REF!</v>
      </c>
      <c r="I156" s="7" t="e">
        <f t="shared" si="252"/>
        <v>#REF!</v>
      </c>
      <c r="J156" s="7" t="e">
        <f t="shared" si="252"/>
        <v>#REF!</v>
      </c>
      <c r="K156" s="7" t="e">
        <f t="shared" si="252"/>
        <v>#REF!</v>
      </c>
      <c r="L156" s="112"/>
      <c r="M156" s="7">
        <f>+VACANTES!H165</f>
        <v>30</v>
      </c>
      <c r="N156" s="7">
        <f>+VACANTES!I165</f>
        <v>0</v>
      </c>
      <c r="O156" s="7">
        <f>+VACANTES!J165</f>
        <v>0</v>
      </c>
      <c r="P156" s="7">
        <f>+VACANTES!K165</f>
        <v>5</v>
      </c>
      <c r="Q156" s="7">
        <f>+VACANTES!L165</f>
        <v>0</v>
      </c>
      <c r="R156" s="7">
        <f>+VACANTES!N165</f>
        <v>35</v>
      </c>
      <c r="S156" s="2">
        <f t="shared" si="224"/>
        <v>35</v>
      </c>
      <c r="T156" s="2"/>
      <c r="U156" s="2"/>
      <c r="V156" s="2"/>
      <c r="W156" s="2"/>
      <c r="X156" s="2"/>
      <c r="Y156" s="2"/>
      <c r="Z156" s="2"/>
    </row>
    <row r="157" spans="1:26" ht="15.75" customHeight="1">
      <c r="A157" s="24" t="e">
        <f t="shared" ref="A157:E157" si="253">+#REF!</f>
        <v>#REF!</v>
      </c>
      <c r="B157" s="24" t="e">
        <f t="shared" si="253"/>
        <v>#REF!</v>
      </c>
      <c r="C157" s="24" t="e">
        <f t="shared" si="253"/>
        <v>#REF!</v>
      </c>
      <c r="D157" s="24" t="e">
        <f t="shared" si="253"/>
        <v>#REF!</v>
      </c>
      <c r="E157" s="24" t="e">
        <f t="shared" si="253"/>
        <v>#REF!</v>
      </c>
      <c r="F157" s="2" t="s">
        <v>785</v>
      </c>
      <c r="G157" s="24" t="e">
        <f t="shared" si="222"/>
        <v>#REF!</v>
      </c>
      <c r="H157" s="7" t="e">
        <f t="shared" ref="H157:K157" si="254">+#REF!</f>
        <v>#REF!</v>
      </c>
      <c r="I157" s="7" t="e">
        <f t="shared" si="254"/>
        <v>#REF!</v>
      </c>
      <c r="J157" s="7" t="e">
        <f t="shared" si="254"/>
        <v>#REF!</v>
      </c>
      <c r="K157" s="7" t="e">
        <f t="shared" si="254"/>
        <v>#REF!</v>
      </c>
      <c r="L157" s="112"/>
      <c r="M157" s="7">
        <f>+VACANTES!H166</f>
        <v>40</v>
      </c>
      <c r="N157" s="7">
        <f>+VACANTES!I166</f>
        <v>0</v>
      </c>
      <c r="O157" s="7">
        <f>+VACANTES!J166</f>
        <v>0</v>
      </c>
      <c r="P157" s="7">
        <f>+VACANTES!K166</f>
        <v>0</v>
      </c>
      <c r="Q157" s="7">
        <f>+VACANTES!L166</f>
        <v>0</v>
      </c>
      <c r="R157" s="7">
        <f>+VACANTES!N166</f>
        <v>40</v>
      </c>
      <c r="S157" s="2">
        <f t="shared" si="224"/>
        <v>40</v>
      </c>
      <c r="T157" s="2"/>
      <c r="U157" s="2"/>
      <c r="V157" s="2"/>
      <c r="W157" s="2"/>
      <c r="X157" s="2"/>
      <c r="Y157" s="2"/>
      <c r="Z157" s="2"/>
    </row>
    <row r="158" spans="1:26" ht="15.75" customHeight="1">
      <c r="A158" s="24" t="e">
        <f t="shared" ref="A158:E158" si="255">+#REF!</f>
        <v>#REF!</v>
      </c>
      <c r="B158" s="24" t="e">
        <f t="shared" si="255"/>
        <v>#REF!</v>
      </c>
      <c r="C158" s="24" t="e">
        <f t="shared" si="255"/>
        <v>#REF!</v>
      </c>
      <c r="D158" s="24" t="e">
        <f t="shared" si="255"/>
        <v>#REF!</v>
      </c>
      <c r="E158" s="115" t="e">
        <f t="shared" si="255"/>
        <v>#REF!</v>
      </c>
      <c r="F158" s="2" t="str">
        <f>+F146</f>
        <v>7157836-4</v>
      </c>
      <c r="G158" s="24" t="e">
        <f t="shared" si="222"/>
        <v>#REF!</v>
      </c>
      <c r="H158" s="7" t="s">
        <v>128</v>
      </c>
      <c r="I158" s="7" t="e">
        <f t="shared" ref="I158:L158" si="256">+#REF!</f>
        <v>#REF!</v>
      </c>
      <c r="J158" s="7" t="e">
        <f t="shared" si="256"/>
        <v>#REF!</v>
      </c>
      <c r="K158" s="7" t="e">
        <f t="shared" si="256"/>
        <v>#REF!</v>
      </c>
      <c r="L158" s="112" t="e">
        <f t="shared" si="256"/>
        <v>#REF!</v>
      </c>
      <c r="M158" s="7">
        <f>+VACANTES!H167</f>
        <v>20</v>
      </c>
      <c r="N158" s="7" t="e">
        <f t="shared" ref="N158:Q158" si="257">+#REF!</f>
        <v>#REF!</v>
      </c>
      <c r="O158" s="7" t="e">
        <f t="shared" si="257"/>
        <v>#REF!</v>
      </c>
      <c r="P158" s="7" t="e">
        <f t="shared" si="257"/>
        <v>#REF!</v>
      </c>
      <c r="Q158" s="24" t="e">
        <f t="shared" si="257"/>
        <v>#REF!</v>
      </c>
      <c r="R158" s="2"/>
      <c r="S158" s="2">
        <f>+M158</f>
        <v>20</v>
      </c>
      <c r="T158" s="2"/>
      <c r="U158" s="2"/>
      <c r="V158" s="2"/>
      <c r="W158" s="2"/>
      <c r="X158" s="2"/>
      <c r="Y158" s="2"/>
      <c r="Z158" s="2"/>
    </row>
    <row r="159" spans="1:26" ht="15.75" customHeight="1">
      <c r="A159" s="24" t="e">
        <f t="shared" ref="A159:E159" si="258">+#REF!</f>
        <v>#REF!</v>
      </c>
      <c r="B159" s="24" t="e">
        <f t="shared" si="258"/>
        <v>#REF!</v>
      </c>
      <c r="C159" s="24" t="e">
        <f t="shared" si="258"/>
        <v>#REF!</v>
      </c>
      <c r="D159" s="24" t="e">
        <f t="shared" si="258"/>
        <v>#REF!</v>
      </c>
      <c r="E159" s="24" t="e">
        <f t="shared" si="258"/>
        <v>#REF!</v>
      </c>
      <c r="F159" s="2" t="s">
        <v>786</v>
      </c>
      <c r="G159" s="24" t="e">
        <f t="shared" si="222"/>
        <v>#REF!</v>
      </c>
      <c r="H159" s="7" t="e">
        <f t="shared" ref="H159:K159" si="259">+#REF!</f>
        <v>#REF!</v>
      </c>
      <c r="I159" s="7" t="e">
        <f t="shared" si="259"/>
        <v>#REF!</v>
      </c>
      <c r="J159" s="7" t="e">
        <f t="shared" si="259"/>
        <v>#REF!</v>
      </c>
      <c r="K159" s="7" t="e">
        <f t="shared" si="259"/>
        <v>#REF!</v>
      </c>
      <c r="L159" s="112"/>
      <c r="M159" s="7">
        <f>+VACANTES!H168</f>
        <v>15</v>
      </c>
      <c r="N159" s="7">
        <f>+VACANTES!I168</f>
        <v>0</v>
      </c>
      <c r="O159" s="7">
        <f>+VACANTES!J168</f>
        <v>0</v>
      </c>
      <c r="P159" s="7">
        <f>+VACANTES!K168</f>
        <v>0</v>
      </c>
      <c r="Q159" s="7">
        <f>+VACANTES!L168</f>
        <v>0</v>
      </c>
      <c r="R159" s="7">
        <f>+VACANTES!N168</f>
        <v>15</v>
      </c>
      <c r="S159" s="2">
        <f t="shared" ref="S159:S169" si="260">+R159-Q159</f>
        <v>15</v>
      </c>
      <c r="T159" s="2"/>
      <c r="U159" s="2"/>
      <c r="V159" s="2"/>
      <c r="W159" s="2"/>
      <c r="X159" s="2"/>
      <c r="Y159" s="2"/>
      <c r="Z159" s="2"/>
    </row>
    <row r="160" spans="1:26" ht="15.75" customHeight="1">
      <c r="A160" s="24" t="e">
        <f t="shared" ref="A160:E160" si="261">+#REF!</f>
        <v>#REF!</v>
      </c>
      <c r="B160" s="24" t="e">
        <f t="shared" si="261"/>
        <v>#REF!</v>
      </c>
      <c r="C160" s="24" t="e">
        <f t="shared" si="261"/>
        <v>#REF!</v>
      </c>
      <c r="D160" s="24" t="e">
        <f t="shared" si="261"/>
        <v>#REF!</v>
      </c>
      <c r="E160" s="24" t="e">
        <f t="shared" si="261"/>
        <v>#REF!</v>
      </c>
      <c r="F160" s="2" t="s">
        <v>787</v>
      </c>
      <c r="G160" s="24" t="e">
        <f t="shared" si="222"/>
        <v>#REF!</v>
      </c>
      <c r="H160" s="7" t="e">
        <f t="shared" ref="H160:K160" si="262">+#REF!</f>
        <v>#REF!</v>
      </c>
      <c r="I160" s="7" t="e">
        <f t="shared" si="262"/>
        <v>#REF!</v>
      </c>
      <c r="J160" s="7" t="e">
        <f t="shared" si="262"/>
        <v>#REF!</v>
      </c>
      <c r="K160" s="7" t="e">
        <f t="shared" si="262"/>
        <v>#REF!</v>
      </c>
      <c r="L160" s="112"/>
      <c r="M160" s="7">
        <f>+VACANTES!H169</f>
        <v>30</v>
      </c>
      <c r="N160" s="7">
        <f>+VACANTES!I169</f>
        <v>0</v>
      </c>
      <c r="O160" s="7">
        <f>+VACANTES!J169</f>
        <v>0</v>
      </c>
      <c r="P160" s="7">
        <f>+VACANTES!K169</f>
        <v>0</v>
      </c>
      <c r="Q160" s="7">
        <f>+VACANTES!L169</f>
        <v>0</v>
      </c>
      <c r="R160" s="7">
        <f>+VACANTES!N169</f>
        <v>30</v>
      </c>
      <c r="S160" s="2">
        <f t="shared" si="260"/>
        <v>30</v>
      </c>
      <c r="T160" s="2"/>
      <c r="U160" s="2"/>
      <c r="V160" s="2"/>
      <c r="W160" s="2"/>
      <c r="X160" s="2"/>
      <c r="Y160" s="2"/>
      <c r="Z160" s="2"/>
    </row>
    <row r="161" spans="1:26" ht="15.75" customHeight="1">
      <c r="A161" s="24" t="e">
        <f t="shared" ref="A161:E161" si="263">+#REF!</f>
        <v>#REF!</v>
      </c>
      <c r="B161" s="24" t="e">
        <f t="shared" si="263"/>
        <v>#REF!</v>
      </c>
      <c r="C161" s="24" t="e">
        <f t="shared" si="263"/>
        <v>#REF!</v>
      </c>
      <c r="D161" s="24" t="e">
        <f t="shared" si="263"/>
        <v>#REF!</v>
      </c>
      <c r="E161" s="24" t="e">
        <f t="shared" si="263"/>
        <v>#REF!</v>
      </c>
      <c r="F161" s="2" t="str">
        <f>+F151</f>
        <v>4871720-9</v>
      </c>
      <c r="G161" s="24" t="e">
        <f t="shared" si="222"/>
        <v>#REF!</v>
      </c>
      <c r="H161" s="7" t="e">
        <f t="shared" ref="H161:K161" si="264">+#REF!</f>
        <v>#REF!</v>
      </c>
      <c r="I161" s="7" t="e">
        <f t="shared" si="264"/>
        <v>#REF!</v>
      </c>
      <c r="J161" s="7" t="e">
        <f t="shared" si="264"/>
        <v>#REF!</v>
      </c>
      <c r="K161" s="7" t="e">
        <f t="shared" si="264"/>
        <v>#REF!</v>
      </c>
      <c r="L161" s="112"/>
      <c r="M161" s="7">
        <f>+VACANTES!H170</f>
        <v>20</v>
      </c>
      <c r="N161" s="7">
        <f>+VACANTES!I170</f>
        <v>0</v>
      </c>
      <c r="O161" s="7">
        <f>+VACANTES!J170</f>
        <v>0</v>
      </c>
      <c r="P161" s="7">
        <f>+VACANTES!K170</f>
        <v>0</v>
      </c>
      <c r="Q161" s="7">
        <f>+VACANTES!L170</f>
        <v>0</v>
      </c>
      <c r="R161" s="7">
        <f>+VACANTES!N170</f>
        <v>20</v>
      </c>
      <c r="S161" s="2">
        <f t="shared" si="260"/>
        <v>20</v>
      </c>
      <c r="T161" s="2"/>
      <c r="U161" s="2"/>
      <c r="V161" s="2"/>
      <c r="W161" s="2"/>
      <c r="X161" s="2"/>
      <c r="Y161" s="2"/>
      <c r="Z161" s="2"/>
    </row>
    <row r="162" spans="1:26" ht="15.75" customHeight="1">
      <c r="A162" s="24" t="e">
        <f t="shared" ref="A162:E162" si="265">+#REF!</f>
        <v>#REF!</v>
      </c>
      <c r="B162" s="24" t="e">
        <f t="shared" si="265"/>
        <v>#REF!</v>
      </c>
      <c r="C162" s="24" t="e">
        <f t="shared" si="265"/>
        <v>#REF!</v>
      </c>
      <c r="D162" s="24" t="e">
        <f t="shared" si="265"/>
        <v>#REF!</v>
      </c>
      <c r="E162" s="24" t="e">
        <f t="shared" si="265"/>
        <v>#REF!</v>
      </c>
      <c r="F162" s="2" t="str">
        <f>+F148</f>
        <v>6344937-7</v>
      </c>
      <c r="G162" s="24" t="e">
        <f t="shared" si="222"/>
        <v>#REF!</v>
      </c>
      <c r="H162" s="7" t="e">
        <f t="shared" ref="H162:K162" si="266">+#REF!</f>
        <v>#REF!</v>
      </c>
      <c r="I162" s="7" t="e">
        <f t="shared" si="266"/>
        <v>#REF!</v>
      </c>
      <c r="J162" s="7" t="e">
        <f t="shared" si="266"/>
        <v>#REF!</v>
      </c>
      <c r="K162" s="7" t="e">
        <f t="shared" si="266"/>
        <v>#REF!</v>
      </c>
      <c r="L162" s="112"/>
      <c r="M162" s="7">
        <f>+VACANTES!H171</f>
        <v>40</v>
      </c>
      <c r="N162" s="7">
        <f>+VACANTES!I171</f>
        <v>0</v>
      </c>
      <c r="O162" s="7">
        <f>+VACANTES!J171</f>
        <v>0</v>
      </c>
      <c r="P162" s="7">
        <f>+VACANTES!K171</f>
        <v>0</v>
      </c>
      <c r="Q162" s="7">
        <f>+VACANTES!L171</f>
        <v>0</v>
      </c>
      <c r="R162" s="7">
        <f>+VACANTES!N171</f>
        <v>40</v>
      </c>
      <c r="S162" s="2">
        <f t="shared" si="260"/>
        <v>40</v>
      </c>
      <c r="T162" s="2"/>
      <c r="U162" s="2"/>
      <c r="V162" s="2"/>
      <c r="W162" s="2"/>
      <c r="X162" s="2"/>
      <c r="Y162" s="2"/>
      <c r="Z162" s="2"/>
    </row>
    <row r="163" spans="1:26" ht="15.75" customHeight="1">
      <c r="A163" s="24" t="e">
        <f t="shared" ref="A163:E163" si="267">+#REF!</f>
        <v>#REF!</v>
      </c>
      <c r="B163" s="24" t="e">
        <f t="shared" si="267"/>
        <v>#REF!</v>
      </c>
      <c r="C163" s="24" t="e">
        <f t="shared" si="267"/>
        <v>#REF!</v>
      </c>
      <c r="D163" s="24" t="e">
        <f t="shared" si="267"/>
        <v>#REF!</v>
      </c>
      <c r="E163" s="24" t="e">
        <f t="shared" si="267"/>
        <v>#REF!</v>
      </c>
      <c r="F163" s="2" t="s">
        <v>788</v>
      </c>
      <c r="G163" s="24" t="e">
        <f t="shared" si="222"/>
        <v>#REF!</v>
      </c>
      <c r="H163" s="7" t="e">
        <f t="shared" ref="H163:K163" si="268">+#REF!</f>
        <v>#REF!</v>
      </c>
      <c r="I163" s="7" t="e">
        <f t="shared" si="268"/>
        <v>#REF!</v>
      </c>
      <c r="J163" s="7" t="e">
        <f t="shared" si="268"/>
        <v>#REF!</v>
      </c>
      <c r="K163" s="7" t="e">
        <f t="shared" si="268"/>
        <v>#REF!</v>
      </c>
      <c r="L163" s="112"/>
      <c r="M163" s="7">
        <f>+VACANTES!H172</f>
        <v>40</v>
      </c>
      <c r="N163" s="7">
        <f>+VACANTES!I172</f>
        <v>0</v>
      </c>
      <c r="O163" s="7">
        <f>+VACANTES!J172</f>
        <v>0</v>
      </c>
      <c r="P163" s="7">
        <f>+VACANTES!K172</f>
        <v>0</v>
      </c>
      <c r="Q163" s="7">
        <f>+VACANTES!L172</f>
        <v>0</v>
      </c>
      <c r="R163" s="7">
        <f>+VACANTES!N172</f>
        <v>40</v>
      </c>
      <c r="S163" s="2">
        <f t="shared" si="260"/>
        <v>40</v>
      </c>
      <c r="T163" s="2"/>
      <c r="U163" s="2"/>
      <c r="V163" s="2"/>
      <c r="W163" s="2"/>
      <c r="X163" s="2"/>
      <c r="Y163" s="2"/>
      <c r="Z163" s="2"/>
    </row>
    <row r="164" spans="1:26" ht="15.75" customHeight="1">
      <c r="A164" s="24" t="e">
        <f t="shared" ref="A164:E164" si="269">+#REF!</f>
        <v>#REF!</v>
      </c>
      <c r="B164" s="24" t="e">
        <f t="shared" si="269"/>
        <v>#REF!</v>
      </c>
      <c r="C164" s="24" t="e">
        <f t="shared" si="269"/>
        <v>#REF!</v>
      </c>
      <c r="D164" s="24" t="e">
        <f t="shared" si="269"/>
        <v>#REF!</v>
      </c>
      <c r="E164" s="24" t="e">
        <f t="shared" si="269"/>
        <v>#REF!</v>
      </c>
      <c r="F164" s="2" t="str">
        <f>+F134</f>
        <v>4660990-5</v>
      </c>
      <c r="G164" s="24" t="e">
        <f t="shared" si="222"/>
        <v>#REF!</v>
      </c>
      <c r="H164" s="7" t="e">
        <f t="shared" ref="H164:K164" si="270">+#REF!</f>
        <v>#REF!</v>
      </c>
      <c r="I164" s="7" t="e">
        <f t="shared" si="270"/>
        <v>#REF!</v>
      </c>
      <c r="J164" s="7" t="e">
        <f t="shared" si="270"/>
        <v>#REF!</v>
      </c>
      <c r="K164" s="7" t="e">
        <f t="shared" si="270"/>
        <v>#REF!</v>
      </c>
      <c r="L164" s="112"/>
      <c r="M164" s="7">
        <f>+VACANTES!H173</f>
        <v>40</v>
      </c>
      <c r="N164" s="7">
        <f>+VACANTES!I173</f>
        <v>0</v>
      </c>
      <c r="O164" s="7">
        <f>+VACANTES!J173</f>
        <v>0</v>
      </c>
      <c r="P164" s="7">
        <f>+VACANTES!K173</f>
        <v>0</v>
      </c>
      <c r="Q164" s="7">
        <f>+VACANTES!L173</f>
        <v>0</v>
      </c>
      <c r="R164" s="7">
        <f>+VACANTES!N173</f>
        <v>40</v>
      </c>
      <c r="S164" s="2">
        <f t="shared" si="260"/>
        <v>40</v>
      </c>
      <c r="T164" s="2"/>
      <c r="U164" s="2"/>
      <c r="V164" s="2"/>
      <c r="W164" s="2"/>
      <c r="X164" s="2"/>
      <c r="Y164" s="2"/>
      <c r="Z164" s="2"/>
    </row>
    <row r="165" spans="1:26" ht="15.75" customHeight="1">
      <c r="A165" s="24" t="e">
        <f t="shared" ref="A165:E165" si="271">+#REF!</f>
        <v>#REF!</v>
      </c>
      <c r="B165" s="24" t="e">
        <f t="shared" si="271"/>
        <v>#REF!</v>
      </c>
      <c r="C165" s="24" t="e">
        <f t="shared" si="271"/>
        <v>#REF!</v>
      </c>
      <c r="D165" s="24" t="e">
        <f t="shared" si="271"/>
        <v>#REF!</v>
      </c>
      <c r="E165" s="24" t="e">
        <f t="shared" si="271"/>
        <v>#REF!</v>
      </c>
      <c r="F165" s="2"/>
      <c r="G165" s="24" t="e">
        <f t="shared" si="222"/>
        <v>#REF!</v>
      </c>
      <c r="H165" s="7" t="e">
        <f t="shared" ref="H165:K165" si="272">+#REF!</f>
        <v>#REF!</v>
      </c>
      <c r="I165" s="7" t="e">
        <f t="shared" si="272"/>
        <v>#REF!</v>
      </c>
      <c r="J165" s="7" t="e">
        <f t="shared" si="272"/>
        <v>#REF!</v>
      </c>
      <c r="K165" s="7" t="e">
        <f t="shared" si="272"/>
        <v>#REF!</v>
      </c>
      <c r="L165" s="112"/>
      <c r="M165" s="7">
        <f>+VACANTES!H174</f>
        <v>15</v>
      </c>
      <c r="N165" s="7">
        <f>+VACANTES!I174</f>
        <v>0</v>
      </c>
      <c r="O165" s="7">
        <f>+VACANTES!J174</f>
        <v>0</v>
      </c>
      <c r="P165" s="7">
        <f>+VACANTES!K174</f>
        <v>0</v>
      </c>
      <c r="Q165" s="7">
        <f>+VACANTES!L174</f>
        <v>0</v>
      </c>
      <c r="R165" s="7">
        <f>+VACANTES!N174</f>
        <v>15</v>
      </c>
      <c r="S165" s="2">
        <f t="shared" si="260"/>
        <v>15</v>
      </c>
      <c r="T165" s="2"/>
      <c r="U165" s="2"/>
      <c r="V165" s="2"/>
      <c r="W165" s="2"/>
      <c r="X165" s="2"/>
      <c r="Y165" s="2"/>
      <c r="Z165" s="2"/>
    </row>
    <row r="166" spans="1:26" ht="15.75" customHeight="1">
      <c r="A166" s="24" t="e">
        <f t="shared" ref="A166:E166" si="273">+#REF!</f>
        <v>#REF!</v>
      </c>
      <c r="B166" s="24" t="e">
        <f t="shared" si="273"/>
        <v>#REF!</v>
      </c>
      <c r="C166" s="24" t="e">
        <f t="shared" si="273"/>
        <v>#REF!</v>
      </c>
      <c r="D166" s="24" t="e">
        <f t="shared" si="273"/>
        <v>#REF!</v>
      </c>
      <c r="E166" s="24" t="e">
        <f t="shared" si="273"/>
        <v>#REF!</v>
      </c>
      <c r="F166" s="2"/>
      <c r="G166" s="24" t="e">
        <f t="shared" si="222"/>
        <v>#REF!</v>
      </c>
      <c r="H166" s="7" t="e">
        <f t="shared" ref="H166:K166" si="274">+#REF!</f>
        <v>#REF!</v>
      </c>
      <c r="I166" s="7" t="e">
        <f t="shared" si="274"/>
        <v>#REF!</v>
      </c>
      <c r="J166" s="7" t="e">
        <f t="shared" si="274"/>
        <v>#REF!</v>
      </c>
      <c r="K166" s="7" t="e">
        <f t="shared" si="274"/>
        <v>#REF!</v>
      </c>
      <c r="L166" s="112"/>
      <c r="M166" s="7">
        <f>+VACANTES!H175</f>
        <v>10</v>
      </c>
      <c r="N166" s="7">
        <f>+VACANTES!I175</f>
        <v>0</v>
      </c>
      <c r="O166" s="7">
        <f>+VACANTES!J175</f>
        <v>0</v>
      </c>
      <c r="P166" s="7">
        <f>+VACANTES!K175</f>
        <v>0</v>
      </c>
      <c r="Q166" s="7">
        <f>+VACANTES!L175</f>
        <v>0</v>
      </c>
      <c r="R166" s="7">
        <f>+VACANTES!N175</f>
        <v>10</v>
      </c>
      <c r="S166" s="2">
        <f t="shared" si="260"/>
        <v>10</v>
      </c>
      <c r="T166" s="2"/>
      <c r="U166" s="2"/>
      <c r="V166" s="2"/>
      <c r="W166" s="2"/>
      <c r="X166" s="2"/>
      <c r="Y166" s="2"/>
      <c r="Z166" s="2"/>
    </row>
    <row r="167" spans="1:26" ht="15.75" customHeight="1">
      <c r="A167" s="24" t="e">
        <f t="shared" ref="A167:E167" si="275">+#REF!</f>
        <v>#REF!</v>
      </c>
      <c r="B167" s="24" t="e">
        <f t="shared" si="275"/>
        <v>#REF!</v>
      </c>
      <c r="C167" s="24" t="e">
        <f t="shared" si="275"/>
        <v>#REF!</v>
      </c>
      <c r="D167" s="24" t="e">
        <f t="shared" si="275"/>
        <v>#REF!</v>
      </c>
      <c r="E167" s="24" t="e">
        <f t="shared" si="275"/>
        <v>#REF!</v>
      </c>
      <c r="F167" s="2"/>
      <c r="G167" s="24" t="e">
        <f t="shared" si="222"/>
        <v>#REF!</v>
      </c>
      <c r="H167" s="7" t="e">
        <f t="shared" ref="H167:K167" si="276">+#REF!</f>
        <v>#REF!</v>
      </c>
      <c r="I167" s="7" t="e">
        <f t="shared" si="276"/>
        <v>#REF!</v>
      </c>
      <c r="J167" s="7" t="e">
        <f t="shared" si="276"/>
        <v>#REF!</v>
      </c>
      <c r="K167" s="7" t="e">
        <f t="shared" si="276"/>
        <v>#REF!</v>
      </c>
      <c r="L167" s="112"/>
      <c r="M167" s="7">
        <f>+VACANTES!H176</f>
        <v>10</v>
      </c>
      <c r="N167" s="7">
        <f>+VACANTES!I176</f>
        <v>0</v>
      </c>
      <c r="O167" s="7">
        <f>+VACANTES!J176</f>
        <v>0</v>
      </c>
      <c r="P167" s="7">
        <f>+VACANTES!K176</f>
        <v>0</v>
      </c>
      <c r="Q167" s="7">
        <f>+VACANTES!L176</f>
        <v>0</v>
      </c>
      <c r="R167" s="7">
        <f>+VACANTES!N176</f>
        <v>10</v>
      </c>
      <c r="S167" s="2">
        <f t="shared" si="260"/>
        <v>10</v>
      </c>
      <c r="T167" s="2"/>
      <c r="U167" s="2"/>
      <c r="V167" s="2"/>
      <c r="W167" s="2"/>
      <c r="X167" s="2"/>
      <c r="Y167" s="2"/>
      <c r="Z167" s="2"/>
    </row>
    <row r="168" spans="1:26" ht="15.75" customHeight="1">
      <c r="A168" s="24" t="e">
        <f t="shared" ref="A168:E168" si="277">+#REF!</f>
        <v>#REF!</v>
      </c>
      <c r="B168" s="24" t="e">
        <f t="shared" si="277"/>
        <v>#REF!</v>
      </c>
      <c r="C168" s="24" t="e">
        <f t="shared" si="277"/>
        <v>#REF!</v>
      </c>
      <c r="D168" s="24" t="e">
        <f t="shared" si="277"/>
        <v>#REF!</v>
      </c>
      <c r="E168" s="24" t="e">
        <f t="shared" si="277"/>
        <v>#REF!</v>
      </c>
      <c r="F168" s="2"/>
      <c r="G168" s="24" t="e">
        <f t="shared" si="222"/>
        <v>#REF!</v>
      </c>
      <c r="H168" s="7" t="e">
        <f t="shared" ref="H168:K168" si="278">+#REF!</f>
        <v>#REF!</v>
      </c>
      <c r="I168" s="7" t="e">
        <f t="shared" si="278"/>
        <v>#REF!</v>
      </c>
      <c r="J168" s="7" t="e">
        <f t="shared" si="278"/>
        <v>#REF!</v>
      </c>
      <c r="K168" s="7" t="e">
        <f t="shared" si="278"/>
        <v>#REF!</v>
      </c>
      <c r="L168" s="112"/>
      <c r="M168" s="7">
        <f>+VACANTES!H177</f>
        <v>10</v>
      </c>
      <c r="N168" s="7">
        <f>+VACANTES!I177</f>
        <v>0</v>
      </c>
      <c r="O168" s="7">
        <f>+VACANTES!J177</f>
        <v>0</v>
      </c>
      <c r="P168" s="7">
        <f>+VACANTES!K177</f>
        <v>0</v>
      </c>
      <c r="Q168" s="7">
        <f>+VACANTES!L177</f>
        <v>0</v>
      </c>
      <c r="R168" s="7">
        <f>+VACANTES!N177</f>
        <v>10</v>
      </c>
      <c r="S168" s="2">
        <f t="shared" si="260"/>
        <v>10</v>
      </c>
      <c r="T168" s="2"/>
      <c r="U168" s="2"/>
      <c r="V168" s="2"/>
      <c r="W168" s="2"/>
      <c r="X168" s="2"/>
      <c r="Y168" s="2"/>
      <c r="Z168" s="2"/>
    </row>
    <row r="169" spans="1:26" ht="15.75" customHeight="1">
      <c r="A169" s="24" t="e">
        <f t="shared" ref="A169:E169" si="279">+#REF!</f>
        <v>#REF!</v>
      </c>
      <c r="B169" s="24" t="e">
        <f t="shared" si="279"/>
        <v>#REF!</v>
      </c>
      <c r="C169" s="24" t="e">
        <f t="shared" si="279"/>
        <v>#REF!</v>
      </c>
      <c r="D169" s="24" t="e">
        <f t="shared" si="279"/>
        <v>#REF!</v>
      </c>
      <c r="E169" s="24" t="e">
        <f t="shared" si="279"/>
        <v>#REF!</v>
      </c>
      <c r="F169" s="2"/>
      <c r="G169" s="24" t="e">
        <f t="shared" si="222"/>
        <v>#REF!</v>
      </c>
      <c r="H169" s="7" t="e">
        <f t="shared" ref="H169:K169" si="280">+#REF!</f>
        <v>#REF!</v>
      </c>
      <c r="I169" s="7" t="e">
        <f t="shared" si="280"/>
        <v>#REF!</v>
      </c>
      <c r="J169" s="7" t="e">
        <f t="shared" si="280"/>
        <v>#REF!</v>
      </c>
      <c r="K169" s="7" t="e">
        <f t="shared" si="280"/>
        <v>#REF!</v>
      </c>
      <c r="L169" s="112"/>
      <c r="M169" s="7">
        <f>+VACANTES!H178</f>
        <v>10</v>
      </c>
      <c r="N169" s="7">
        <f>+VACANTES!I178</f>
        <v>0</v>
      </c>
      <c r="O169" s="7">
        <f>+VACANTES!J178</f>
        <v>0</v>
      </c>
      <c r="P169" s="7">
        <f>+VACANTES!K178</f>
        <v>0</v>
      </c>
      <c r="Q169" s="7">
        <f>+VACANTES!L178</f>
        <v>0</v>
      </c>
      <c r="R169" s="7">
        <f>+VACANTES!N178</f>
        <v>10</v>
      </c>
      <c r="S169" s="2">
        <f t="shared" si="260"/>
        <v>10</v>
      </c>
      <c r="T169" s="2"/>
      <c r="U169" s="2"/>
      <c r="V169" s="2"/>
      <c r="W169" s="2"/>
      <c r="X169" s="2"/>
      <c r="Y169" s="2"/>
      <c r="Z169" s="2"/>
    </row>
    <row r="170" spans="1:26" ht="15.75" customHeight="1">
      <c r="A170" s="24" t="e">
        <f t="shared" ref="A170:E170" si="281">+#REF!</f>
        <v>#REF!</v>
      </c>
      <c r="B170" s="24" t="e">
        <f t="shared" si="281"/>
        <v>#REF!</v>
      </c>
      <c r="C170" s="24" t="e">
        <f t="shared" si="281"/>
        <v>#REF!</v>
      </c>
      <c r="D170" s="24" t="e">
        <f t="shared" si="281"/>
        <v>#REF!</v>
      </c>
      <c r="E170" s="24" t="e">
        <f t="shared" si="281"/>
        <v>#REF!</v>
      </c>
      <c r="F170" s="2"/>
      <c r="G170" s="24"/>
      <c r="H170" s="7"/>
      <c r="I170" s="7"/>
      <c r="J170" s="7"/>
      <c r="K170" s="7"/>
      <c r="L170" s="112"/>
      <c r="M170" s="7"/>
      <c r="N170" s="7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7"/>
      <c r="C171" s="7"/>
      <c r="D171" s="2"/>
      <c r="E171" s="2"/>
      <c r="F171" s="2"/>
      <c r="G171" s="24"/>
      <c r="H171" s="7"/>
      <c r="I171" s="7"/>
      <c r="J171" s="7"/>
      <c r="K171" s="7"/>
      <c r="L171" s="112"/>
      <c r="M171" s="7"/>
      <c r="N171" s="7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7"/>
      <c r="C172" s="7"/>
      <c r="D172" s="2"/>
      <c r="E172" s="2"/>
      <c r="F172" s="2"/>
      <c r="G172" s="24"/>
      <c r="H172" s="7"/>
      <c r="I172" s="7"/>
      <c r="J172" s="7"/>
      <c r="K172" s="7"/>
      <c r="L172" s="112"/>
      <c r="M172" s="7"/>
      <c r="N172" s="7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114" t="s">
        <v>742</v>
      </c>
      <c r="B173" s="3"/>
      <c r="C173" s="14"/>
      <c r="D173" s="3"/>
      <c r="E173" s="3"/>
      <c r="F173" s="3"/>
      <c r="G173" s="24" t="str">
        <f>IF(D173="","",VLOOKUP(MID(A173,1,7),#REF!,3,FALSE))</f>
        <v/>
      </c>
      <c r="H173" s="445" t="s">
        <v>7</v>
      </c>
      <c r="I173" s="404"/>
      <c r="J173" s="445" t="s">
        <v>8</v>
      </c>
      <c r="K173" s="404"/>
      <c r="L173" s="110"/>
      <c r="M173" s="14"/>
      <c r="N173" s="7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114"/>
      <c r="B174" s="3"/>
      <c r="C174" s="14"/>
      <c r="D174" s="3"/>
      <c r="E174" s="3"/>
      <c r="F174" s="3"/>
      <c r="G174" s="24"/>
      <c r="H174" s="14"/>
      <c r="I174" s="14"/>
      <c r="J174" s="14"/>
      <c r="K174" s="14"/>
      <c r="L174" s="110"/>
      <c r="M174" s="14"/>
      <c r="N174" s="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3" t="s">
        <v>11</v>
      </c>
      <c r="B175" s="14" t="s">
        <v>12</v>
      </c>
      <c r="C175" s="14" t="s">
        <v>13</v>
      </c>
      <c r="D175" s="3" t="s">
        <v>14</v>
      </c>
      <c r="E175" s="14" t="s">
        <v>15</v>
      </c>
      <c r="F175" s="14"/>
      <c r="G175" s="26" t="s">
        <v>16</v>
      </c>
      <c r="H175" s="14" t="s">
        <v>688</v>
      </c>
      <c r="I175" s="14" t="s">
        <v>681</v>
      </c>
      <c r="J175" s="14" t="s">
        <v>688</v>
      </c>
      <c r="K175" s="14" t="s">
        <v>681</v>
      </c>
      <c r="L175" s="110"/>
      <c r="M175" s="14"/>
      <c r="N175" s="14" t="str">
        <f>+VACANTES!I184</f>
        <v>UA07</v>
      </c>
      <c r="O175" s="14" t="str">
        <f>+VACANTES!K184</f>
        <v>FG</v>
      </c>
      <c r="P175" s="14" t="s">
        <v>22</v>
      </c>
      <c r="Q175" s="14"/>
      <c r="R175" s="14" t="str">
        <f>+VACANTES!N184</f>
        <v>TOTAL</v>
      </c>
      <c r="S175" s="2"/>
      <c r="T175" s="14"/>
      <c r="U175" s="2"/>
      <c r="V175" s="2"/>
      <c r="W175" s="2"/>
      <c r="X175" s="2"/>
      <c r="Y175" s="2"/>
      <c r="Z175" s="2"/>
    </row>
    <row r="176" spans="1:26" ht="15.75" customHeight="1">
      <c r="A176" s="2" t="e">
        <f t="shared" ref="A176:E176" si="282">+#REF!</f>
        <v>#REF!</v>
      </c>
      <c r="B176" s="2" t="e">
        <f t="shared" si="282"/>
        <v>#REF!</v>
      </c>
      <c r="C176" s="2" t="e">
        <f t="shared" si="282"/>
        <v>#REF!</v>
      </c>
      <c r="D176" s="2" t="e">
        <f t="shared" si="282"/>
        <v>#REF!</v>
      </c>
      <c r="E176" s="2" t="e">
        <f t="shared" si="282"/>
        <v>#REF!</v>
      </c>
      <c r="F176" s="2" t="s">
        <v>789</v>
      </c>
      <c r="G176" s="24" t="s">
        <v>790</v>
      </c>
      <c r="H176" s="7" t="e">
        <f t="shared" ref="H176:H187" si="283">+#REF!</f>
        <v>#REF!</v>
      </c>
      <c r="I176" s="7"/>
      <c r="J176" s="7" t="e">
        <f t="shared" ref="J176:J177" si="284">+#REF!</f>
        <v>#REF!</v>
      </c>
      <c r="K176" s="7"/>
      <c r="L176" s="112"/>
      <c r="M176" s="7">
        <f>+VACANTES!H185</f>
        <v>60</v>
      </c>
      <c r="N176" s="7">
        <f>+VACANTES!I185</f>
        <v>0</v>
      </c>
      <c r="O176" s="7">
        <f>+VACANTES!K185</f>
        <v>5</v>
      </c>
      <c r="P176" s="7">
        <f t="shared" ref="P176:P187" si="285">+M176+O176</f>
        <v>65</v>
      </c>
      <c r="Q176" s="7"/>
      <c r="R176" s="7">
        <f>+VACANTES!N185-VACANTES!L185</f>
        <v>65</v>
      </c>
      <c r="S176" s="2"/>
      <c r="T176" s="14"/>
      <c r="U176" s="2"/>
      <c r="V176" s="2"/>
      <c r="W176" s="2"/>
      <c r="X176" s="2"/>
      <c r="Y176" s="2"/>
      <c r="Z176" s="2"/>
    </row>
    <row r="177" spans="1:26" ht="15.75" customHeight="1">
      <c r="A177" s="2" t="e">
        <f t="shared" ref="A177:E177" si="286">+#REF!</f>
        <v>#REF!</v>
      </c>
      <c r="B177" s="2" t="e">
        <f t="shared" si="286"/>
        <v>#REF!</v>
      </c>
      <c r="C177" s="2" t="e">
        <f t="shared" si="286"/>
        <v>#REF!</v>
      </c>
      <c r="D177" s="2" t="e">
        <f t="shared" si="286"/>
        <v>#REF!</v>
      </c>
      <c r="E177" s="2" t="e">
        <f t="shared" si="286"/>
        <v>#REF!</v>
      </c>
      <c r="F177" s="24" t="s">
        <v>791</v>
      </c>
      <c r="G177" s="24" t="s">
        <v>790</v>
      </c>
      <c r="H177" s="7" t="e">
        <f t="shared" si="283"/>
        <v>#REF!</v>
      </c>
      <c r="I177" s="7"/>
      <c r="J177" s="7" t="e">
        <f t="shared" si="284"/>
        <v>#REF!</v>
      </c>
      <c r="K177" s="7"/>
      <c r="L177" s="112"/>
      <c r="M177" s="7">
        <f>+VACANTES!H186</f>
        <v>60</v>
      </c>
      <c r="N177" s="7">
        <f>+VACANTES!I186</f>
        <v>0</v>
      </c>
      <c r="O177" s="7">
        <f>+VACANTES!K186</f>
        <v>5</v>
      </c>
      <c r="P177" s="7">
        <f t="shared" si="285"/>
        <v>65</v>
      </c>
      <c r="Q177" s="7"/>
      <c r="R177" s="7">
        <f>+VACANTES!N186-VACANTES!L186</f>
        <v>65</v>
      </c>
      <c r="S177" s="2"/>
      <c r="T177" s="14"/>
      <c r="U177" s="2"/>
      <c r="V177" s="2"/>
      <c r="W177" s="2"/>
      <c r="X177" s="2"/>
      <c r="Y177" s="2"/>
      <c r="Z177" s="2"/>
    </row>
    <row r="178" spans="1:26" ht="15.75" customHeight="1">
      <c r="A178" s="2" t="e">
        <f t="shared" ref="A178:E178" si="287">+#REF!</f>
        <v>#REF!</v>
      </c>
      <c r="B178" s="2" t="e">
        <f t="shared" si="287"/>
        <v>#REF!</v>
      </c>
      <c r="C178" s="2" t="e">
        <f t="shared" si="287"/>
        <v>#REF!</v>
      </c>
      <c r="D178" s="2" t="e">
        <f t="shared" si="287"/>
        <v>#REF!</v>
      </c>
      <c r="E178" s="2" t="e">
        <f t="shared" si="287"/>
        <v>#REF!</v>
      </c>
      <c r="F178" s="2" t="s">
        <v>792</v>
      </c>
      <c r="G178" s="24" t="s">
        <v>793</v>
      </c>
      <c r="H178" s="7" t="e">
        <f t="shared" si="283"/>
        <v>#REF!</v>
      </c>
      <c r="I178" s="7" t="e">
        <f t="shared" ref="I178:K178" si="288">+#REF!</f>
        <v>#REF!</v>
      </c>
      <c r="J178" s="7" t="e">
        <f t="shared" si="288"/>
        <v>#REF!</v>
      </c>
      <c r="K178" s="7" t="e">
        <f t="shared" si="288"/>
        <v>#REF!</v>
      </c>
      <c r="L178" s="112"/>
      <c r="M178" s="7">
        <f>+VACANTES!H187</f>
        <v>60</v>
      </c>
      <c r="N178" s="7">
        <f>+VACANTES!I187</f>
        <v>0</v>
      </c>
      <c r="O178" s="7">
        <f>+VACANTES!K187</f>
        <v>5</v>
      </c>
      <c r="P178" s="7">
        <f t="shared" si="285"/>
        <v>65</v>
      </c>
      <c r="Q178" s="7"/>
      <c r="R178" s="7">
        <f>+VACANTES!N187-VACANTES!L187</f>
        <v>65</v>
      </c>
      <c r="S178" s="2"/>
      <c r="T178" s="14"/>
      <c r="U178" s="2"/>
      <c r="V178" s="2"/>
      <c r="W178" s="2"/>
      <c r="X178" s="2"/>
      <c r="Y178" s="2"/>
      <c r="Z178" s="2"/>
    </row>
    <row r="179" spans="1:26" ht="15.75" customHeight="1">
      <c r="A179" s="2" t="e">
        <f t="shared" ref="A179:E179" si="289">+#REF!</f>
        <v>#REF!</v>
      </c>
      <c r="B179" s="2" t="e">
        <f t="shared" si="289"/>
        <v>#REF!</v>
      </c>
      <c r="C179" s="2" t="e">
        <f t="shared" si="289"/>
        <v>#REF!</v>
      </c>
      <c r="D179" s="2" t="e">
        <f t="shared" si="289"/>
        <v>#REF!</v>
      </c>
      <c r="E179" s="2" t="e">
        <f t="shared" si="289"/>
        <v>#REF!</v>
      </c>
      <c r="F179" s="24" t="s">
        <v>794</v>
      </c>
      <c r="G179" s="24" t="s">
        <v>793</v>
      </c>
      <c r="H179" s="7" t="e">
        <f t="shared" si="283"/>
        <v>#REF!</v>
      </c>
      <c r="I179" s="7" t="e">
        <f t="shared" ref="I179:K179" si="290">+#REF!</f>
        <v>#REF!</v>
      </c>
      <c r="J179" s="7" t="e">
        <f t="shared" si="290"/>
        <v>#REF!</v>
      </c>
      <c r="K179" s="7" t="e">
        <f t="shared" si="290"/>
        <v>#REF!</v>
      </c>
      <c r="L179" s="112"/>
      <c r="M179" s="7">
        <f>+VACANTES!H188</f>
        <v>60</v>
      </c>
      <c r="N179" s="7">
        <f>+VACANTES!I188</f>
        <v>0</v>
      </c>
      <c r="O179" s="7">
        <f>+VACANTES!K188</f>
        <v>5</v>
      </c>
      <c r="P179" s="7">
        <f t="shared" si="285"/>
        <v>65</v>
      </c>
      <c r="Q179" s="7"/>
      <c r="R179" s="7">
        <f>+VACANTES!N188-VACANTES!L188</f>
        <v>65</v>
      </c>
      <c r="S179" s="2"/>
      <c r="T179" s="14"/>
      <c r="U179" s="2"/>
      <c r="V179" s="2"/>
      <c r="W179" s="2"/>
      <c r="X179" s="2"/>
      <c r="Y179" s="2"/>
      <c r="Z179" s="2"/>
    </row>
    <row r="180" spans="1:26" ht="15.75" customHeight="1">
      <c r="A180" s="2" t="e">
        <f t="shared" ref="A180:E180" si="291">+#REF!</f>
        <v>#REF!</v>
      </c>
      <c r="B180" s="2" t="e">
        <f t="shared" si="291"/>
        <v>#REF!</v>
      </c>
      <c r="C180" s="2" t="e">
        <f t="shared" si="291"/>
        <v>#REF!</v>
      </c>
      <c r="D180" s="2" t="e">
        <f t="shared" si="291"/>
        <v>#REF!</v>
      </c>
      <c r="E180" s="2" t="e">
        <f t="shared" si="291"/>
        <v>#REF!</v>
      </c>
      <c r="F180" s="2" t="s">
        <v>795</v>
      </c>
      <c r="G180" s="24" t="s">
        <v>793</v>
      </c>
      <c r="H180" s="7" t="e">
        <f t="shared" si="283"/>
        <v>#REF!</v>
      </c>
      <c r="I180" s="7" t="e">
        <f t="shared" ref="I180:K180" si="292">+#REF!</f>
        <v>#REF!</v>
      </c>
      <c r="J180" s="7" t="e">
        <f t="shared" si="292"/>
        <v>#REF!</v>
      </c>
      <c r="K180" s="7" t="e">
        <f t="shared" si="292"/>
        <v>#REF!</v>
      </c>
      <c r="L180" s="112"/>
      <c r="M180" s="7">
        <f>+VACANTES!H189</f>
        <v>60</v>
      </c>
      <c r="N180" s="7">
        <f>+VACANTES!I189</f>
        <v>0</v>
      </c>
      <c r="O180" s="7">
        <f>+VACANTES!K189</f>
        <v>5</v>
      </c>
      <c r="P180" s="7">
        <f t="shared" si="285"/>
        <v>65</v>
      </c>
      <c r="Q180" s="7"/>
      <c r="R180" s="7">
        <f>+VACANTES!N189-VACANTES!L189</f>
        <v>65</v>
      </c>
      <c r="S180" s="2"/>
      <c r="T180" s="14"/>
      <c r="U180" s="2"/>
      <c r="V180" s="2"/>
      <c r="W180" s="2"/>
      <c r="X180" s="2"/>
      <c r="Y180" s="2"/>
      <c r="Z180" s="2"/>
    </row>
    <row r="181" spans="1:26" ht="15.75" customHeight="1">
      <c r="A181" s="2" t="e">
        <f t="shared" ref="A181:E181" si="293">+#REF!</f>
        <v>#REF!</v>
      </c>
      <c r="B181" s="2" t="e">
        <f t="shared" si="293"/>
        <v>#REF!</v>
      </c>
      <c r="C181" s="2" t="e">
        <f t="shared" si="293"/>
        <v>#REF!</v>
      </c>
      <c r="D181" s="2" t="e">
        <f t="shared" si="293"/>
        <v>#REF!</v>
      </c>
      <c r="E181" s="2" t="e">
        <f t="shared" si="293"/>
        <v>#REF!</v>
      </c>
      <c r="F181" s="24" t="s">
        <v>796</v>
      </c>
      <c r="G181" s="24" t="s">
        <v>793</v>
      </c>
      <c r="H181" s="7" t="e">
        <f t="shared" si="283"/>
        <v>#REF!</v>
      </c>
      <c r="I181" s="7" t="e">
        <f t="shared" ref="I181:K181" si="294">+#REF!</f>
        <v>#REF!</v>
      </c>
      <c r="J181" s="7" t="e">
        <f t="shared" si="294"/>
        <v>#REF!</v>
      </c>
      <c r="K181" s="7" t="e">
        <f t="shared" si="294"/>
        <v>#REF!</v>
      </c>
      <c r="L181" s="112"/>
      <c r="M181" s="7">
        <f>+VACANTES!H190</f>
        <v>60</v>
      </c>
      <c r="N181" s="7">
        <f>+VACANTES!I190</f>
        <v>0</v>
      </c>
      <c r="O181" s="7">
        <f>+VACANTES!K190</f>
        <v>5</v>
      </c>
      <c r="P181" s="7">
        <f t="shared" si="285"/>
        <v>65</v>
      </c>
      <c r="Q181" s="7"/>
      <c r="R181" s="7">
        <f>+VACANTES!N190-VACANTES!L190</f>
        <v>65</v>
      </c>
      <c r="S181" s="2"/>
      <c r="T181" s="14"/>
      <c r="U181" s="2"/>
      <c r="V181" s="2"/>
      <c r="W181" s="2"/>
      <c r="X181" s="2"/>
      <c r="Y181" s="2"/>
      <c r="Z181" s="2"/>
    </row>
    <row r="182" spans="1:26" ht="15.75" customHeight="1">
      <c r="A182" s="2" t="e">
        <f t="shared" ref="A182:E182" si="295">+#REF!</f>
        <v>#REF!</v>
      </c>
      <c r="B182" s="2" t="e">
        <f t="shared" si="295"/>
        <v>#REF!</v>
      </c>
      <c r="C182" s="2" t="e">
        <f t="shared" si="295"/>
        <v>#REF!</v>
      </c>
      <c r="D182" s="2" t="e">
        <f t="shared" si="295"/>
        <v>#REF!</v>
      </c>
      <c r="E182" s="2" t="e">
        <f t="shared" si="295"/>
        <v>#REF!</v>
      </c>
      <c r="F182" s="24" t="s">
        <v>797</v>
      </c>
      <c r="G182" s="24" t="s">
        <v>798</v>
      </c>
      <c r="H182" s="7" t="e">
        <f t="shared" si="283"/>
        <v>#REF!</v>
      </c>
      <c r="I182" s="7"/>
      <c r="J182" s="7" t="e">
        <f t="shared" ref="J182:J187" si="296">+#REF!</f>
        <v>#REF!</v>
      </c>
      <c r="K182" s="7"/>
      <c r="L182" s="112"/>
      <c r="M182" s="7">
        <f>+VACANTES!H191</f>
        <v>50</v>
      </c>
      <c r="N182" s="7">
        <f>+VACANTES!I191</f>
        <v>0</v>
      </c>
      <c r="O182" s="7">
        <f>+VACANTES!K191</f>
        <v>5</v>
      </c>
      <c r="P182" s="7">
        <f t="shared" si="285"/>
        <v>55</v>
      </c>
      <c r="Q182" s="7"/>
      <c r="R182" s="7">
        <f>+VACANTES!N191-VACANTES!L191</f>
        <v>55</v>
      </c>
      <c r="S182" s="2"/>
      <c r="T182" s="14"/>
      <c r="U182" s="2"/>
      <c r="V182" s="2"/>
      <c r="W182" s="2"/>
      <c r="X182" s="2"/>
      <c r="Y182" s="2"/>
      <c r="Z182" s="2"/>
    </row>
    <row r="183" spans="1:26" ht="15.75" customHeight="1">
      <c r="A183" s="2" t="e">
        <f t="shared" ref="A183:E183" si="297">+#REF!</f>
        <v>#REF!</v>
      </c>
      <c r="B183" s="2" t="e">
        <f t="shared" si="297"/>
        <v>#REF!</v>
      </c>
      <c r="C183" s="2" t="e">
        <f t="shared" si="297"/>
        <v>#REF!</v>
      </c>
      <c r="D183" s="2" t="e">
        <f t="shared" si="297"/>
        <v>#REF!</v>
      </c>
      <c r="E183" s="2" t="e">
        <f t="shared" si="297"/>
        <v>#REF!</v>
      </c>
      <c r="F183" s="24" t="s">
        <v>799</v>
      </c>
      <c r="G183" s="24" t="s">
        <v>800</v>
      </c>
      <c r="H183" s="7" t="e">
        <f t="shared" si="283"/>
        <v>#REF!</v>
      </c>
      <c r="I183" s="7"/>
      <c r="J183" s="7" t="e">
        <f t="shared" si="296"/>
        <v>#REF!</v>
      </c>
      <c r="K183" s="7"/>
      <c r="L183" s="112"/>
      <c r="M183" s="7">
        <f>+VACANTES!H192</f>
        <v>70</v>
      </c>
      <c r="N183" s="7">
        <f>+VACANTES!I192</f>
        <v>0</v>
      </c>
      <c r="O183" s="7">
        <f>+VACANTES!K192</f>
        <v>0</v>
      </c>
      <c r="P183" s="7">
        <f t="shared" si="285"/>
        <v>70</v>
      </c>
      <c r="Q183" s="7"/>
      <c r="R183" s="7">
        <f>+VACANTES!N192-VACANTES!L192</f>
        <v>70</v>
      </c>
      <c r="S183" s="2"/>
      <c r="T183" s="14"/>
      <c r="U183" s="2"/>
      <c r="V183" s="2"/>
      <c r="W183" s="2"/>
      <c r="X183" s="2"/>
      <c r="Y183" s="2"/>
      <c r="Z183" s="2"/>
    </row>
    <row r="184" spans="1:26" ht="15.75" customHeight="1">
      <c r="A184" s="2" t="e">
        <f t="shared" ref="A184:E184" si="298">+#REF!</f>
        <v>#REF!</v>
      </c>
      <c r="B184" s="2" t="e">
        <f t="shared" si="298"/>
        <v>#REF!</v>
      </c>
      <c r="C184" s="2" t="e">
        <f t="shared" si="298"/>
        <v>#REF!</v>
      </c>
      <c r="D184" s="2" t="e">
        <f t="shared" si="298"/>
        <v>#REF!</v>
      </c>
      <c r="E184" s="2" t="e">
        <f t="shared" si="298"/>
        <v>#REF!</v>
      </c>
      <c r="F184" s="24" t="s">
        <v>801</v>
      </c>
      <c r="G184" s="24" t="s">
        <v>802</v>
      </c>
      <c r="H184" s="7" t="e">
        <f t="shared" si="283"/>
        <v>#REF!</v>
      </c>
      <c r="I184" s="7"/>
      <c r="J184" s="7" t="e">
        <f t="shared" si="296"/>
        <v>#REF!</v>
      </c>
      <c r="K184" s="7"/>
      <c r="L184" s="112"/>
      <c r="M184" s="7">
        <f>+VACANTES!H193</f>
        <v>45</v>
      </c>
      <c r="N184" s="7">
        <f>+VACANTES!I193</f>
        <v>0</v>
      </c>
      <c r="O184" s="7">
        <f>+VACANTES!K193</f>
        <v>5</v>
      </c>
      <c r="P184" s="7">
        <f t="shared" si="285"/>
        <v>50</v>
      </c>
      <c r="Q184" s="7"/>
      <c r="R184" s="7">
        <f>+VACANTES!N193-VACANTES!L193</f>
        <v>50</v>
      </c>
      <c r="S184" s="2"/>
      <c r="T184" s="14"/>
      <c r="U184" s="2"/>
      <c r="V184" s="2"/>
      <c r="W184" s="2"/>
      <c r="X184" s="2"/>
      <c r="Y184" s="2"/>
      <c r="Z184" s="2"/>
    </row>
    <row r="185" spans="1:26" ht="15.75" customHeight="1">
      <c r="A185" s="2" t="e">
        <f t="shared" ref="A185:E185" si="299">+#REF!</f>
        <v>#REF!</v>
      </c>
      <c r="B185" s="2" t="e">
        <f t="shared" si="299"/>
        <v>#REF!</v>
      </c>
      <c r="C185" s="2" t="e">
        <f t="shared" si="299"/>
        <v>#REF!</v>
      </c>
      <c r="D185" s="2" t="e">
        <f t="shared" si="299"/>
        <v>#REF!</v>
      </c>
      <c r="E185" s="2" t="e">
        <f t="shared" si="299"/>
        <v>#REF!</v>
      </c>
      <c r="F185" s="24" t="s">
        <v>803</v>
      </c>
      <c r="G185" s="24" t="s">
        <v>804</v>
      </c>
      <c r="H185" s="7" t="e">
        <f t="shared" si="283"/>
        <v>#REF!</v>
      </c>
      <c r="I185" s="7"/>
      <c r="J185" s="7" t="e">
        <f t="shared" si="296"/>
        <v>#REF!</v>
      </c>
      <c r="K185" s="7"/>
      <c r="L185" s="112"/>
      <c r="M185" s="7">
        <f>+VACANTES!H194</f>
        <v>75</v>
      </c>
      <c r="N185" s="7">
        <f>+VACANTES!I194</f>
        <v>5</v>
      </c>
      <c r="O185" s="7">
        <f>+VACANTES!K194</f>
        <v>0</v>
      </c>
      <c r="P185" s="7">
        <f t="shared" si="285"/>
        <v>75</v>
      </c>
      <c r="Q185" s="7"/>
      <c r="R185" s="7">
        <f>+VACANTES!N194-VACANTES!L194</f>
        <v>80</v>
      </c>
      <c r="S185" s="2"/>
      <c r="T185" s="14"/>
      <c r="U185" s="2"/>
      <c r="V185" s="2"/>
      <c r="W185" s="2"/>
      <c r="X185" s="2"/>
      <c r="Y185" s="2"/>
      <c r="Z185" s="2"/>
    </row>
    <row r="186" spans="1:26" ht="15.75" customHeight="1">
      <c r="A186" s="2" t="e">
        <f t="shared" ref="A186:E186" si="300">+#REF!</f>
        <v>#REF!</v>
      </c>
      <c r="B186" s="2" t="e">
        <f t="shared" si="300"/>
        <v>#REF!</v>
      </c>
      <c r="C186" s="2" t="e">
        <f t="shared" si="300"/>
        <v>#REF!</v>
      </c>
      <c r="D186" s="2" t="e">
        <f t="shared" si="300"/>
        <v>#REF!</v>
      </c>
      <c r="E186" s="2" t="e">
        <f t="shared" si="300"/>
        <v>#REF!</v>
      </c>
      <c r="F186" s="24" t="s">
        <v>805</v>
      </c>
      <c r="G186" s="24" t="s">
        <v>806</v>
      </c>
      <c r="H186" s="7" t="e">
        <f t="shared" si="283"/>
        <v>#REF!</v>
      </c>
      <c r="I186" s="7"/>
      <c r="J186" s="7" t="e">
        <f t="shared" si="296"/>
        <v>#REF!</v>
      </c>
      <c r="K186" s="7"/>
      <c r="L186" s="112"/>
      <c r="M186" s="7">
        <f>+VACANTES!H195</f>
        <v>55</v>
      </c>
      <c r="N186" s="7">
        <f>+VACANTES!I195</f>
        <v>10</v>
      </c>
      <c r="O186" s="7">
        <f>+VACANTES!K195</f>
        <v>5</v>
      </c>
      <c r="P186" s="7">
        <f t="shared" si="285"/>
        <v>60</v>
      </c>
      <c r="Q186" s="7"/>
      <c r="R186" s="7">
        <f>+VACANTES!N195-VACANTES!L195</f>
        <v>70</v>
      </c>
      <c r="S186" s="2"/>
      <c r="T186" s="14"/>
      <c r="U186" s="2"/>
      <c r="V186" s="2"/>
      <c r="W186" s="2"/>
      <c r="X186" s="2"/>
      <c r="Y186" s="2"/>
      <c r="Z186" s="2"/>
    </row>
    <row r="187" spans="1:26" ht="15.75" customHeight="1">
      <c r="A187" s="2" t="e">
        <f t="shared" ref="A187:E187" si="301">+#REF!</f>
        <v>#REF!</v>
      </c>
      <c r="B187" s="2" t="e">
        <f t="shared" si="301"/>
        <v>#REF!</v>
      </c>
      <c r="C187" s="2" t="e">
        <f t="shared" si="301"/>
        <v>#REF!</v>
      </c>
      <c r="D187" s="2" t="e">
        <f t="shared" si="301"/>
        <v>#REF!</v>
      </c>
      <c r="E187" s="2" t="e">
        <f t="shared" si="301"/>
        <v>#REF!</v>
      </c>
      <c r="F187" s="24"/>
      <c r="G187" s="24" t="s">
        <v>807</v>
      </c>
      <c r="H187" s="7" t="e">
        <f t="shared" si="283"/>
        <v>#REF!</v>
      </c>
      <c r="I187" s="7"/>
      <c r="J187" s="7" t="e">
        <f t="shared" si="296"/>
        <v>#REF!</v>
      </c>
      <c r="K187" s="7"/>
      <c r="L187" s="112"/>
      <c r="M187" s="7">
        <f>+VACANTES!H196</f>
        <v>50</v>
      </c>
      <c r="N187" s="7">
        <f>+VACANTES!I196</f>
        <v>0</v>
      </c>
      <c r="O187" s="7">
        <f>+VACANTES!K196</f>
        <v>5</v>
      </c>
      <c r="P187" s="7">
        <f t="shared" si="285"/>
        <v>55</v>
      </c>
      <c r="Q187" s="7"/>
      <c r="R187" s="7">
        <f>+VACANTES!N196-VACANTES!L196</f>
        <v>55</v>
      </c>
      <c r="S187" s="3"/>
      <c r="T187" s="14"/>
      <c r="U187" s="3"/>
      <c r="V187" s="3"/>
      <c r="W187" s="3"/>
      <c r="X187" s="3"/>
      <c r="Y187" s="3"/>
      <c r="Z187" s="3"/>
    </row>
    <row r="188" spans="1:26" ht="15.75" customHeight="1">
      <c r="A188" s="2"/>
      <c r="B188" s="7"/>
      <c r="C188" s="7"/>
      <c r="D188" s="2"/>
      <c r="E188" s="24"/>
      <c r="F188" s="24"/>
      <c r="G188" s="24"/>
      <c r="H188" s="7"/>
      <c r="I188" s="7"/>
      <c r="J188" s="7"/>
      <c r="K188" s="7"/>
      <c r="L188" s="112"/>
      <c r="M188" s="14"/>
      <c r="N188" s="14"/>
      <c r="O188" s="14"/>
      <c r="P188" s="2"/>
      <c r="Q188" s="2"/>
      <c r="R188" s="14"/>
      <c r="S188" s="2"/>
      <c r="T188" s="14"/>
      <c r="U188" s="2"/>
      <c r="V188" s="2"/>
      <c r="W188" s="2"/>
      <c r="X188" s="2"/>
      <c r="Y188" s="2"/>
      <c r="Z188" s="2"/>
    </row>
    <row r="189" spans="1:26" ht="15.75" customHeight="1">
      <c r="A189" s="2"/>
      <c r="B189" s="7"/>
      <c r="C189" s="7"/>
      <c r="D189" s="2"/>
      <c r="E189" s="2"/>
      <c r="F189" s="2"/>
      <c r="G189" s="24"/>
      <c r="H189" s="7"/>
      <c r="I189" s="7"/>
      <c r="J189" s="7"/>
      <c r="K189" s="7"/>
      <c r="L189" s="112"/>
      <c r="M189" s="7"/>
      <c r="N189" s="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7"/>
      <c r="C190" s="7"/>
      <c r="D190" s="2"/>
      <c r="E190" s="2"/>
      <c r="F190" s="2"/>
      <c r="G190" s="24"/>
      <c r="H190" s="7"/>
      <c r="I190" s="7"/>
      <c r="J190" s="7"/>
      <c r="K190" s="7"/>
      <c r="L190" s="112"/>
      <c r="M190" s="7"/>
      <c r="N190" s="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7"/>
      <c r="C191" s="7"/>
      <c r="D191" s="2"/>
      <c r="E191" s="2"/>
      <c r="F191" s="2"/>
      <c r="G191" s="24"/>
      <c r="H191" s="7"/>
      <c r="I191" s="7"/>
      <c r="J191" s="7"/>
      <c r="K191" s="7"/>
      <c r="L191" s="112"/>
      <c r="M191" s="7"/>
      <c r="N191" s="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7"/>
      <c r="C192" s="7"/>
      <c r="D192" s="2"/>
      <c r="E192" s="444" t="s">
        <v>675</v>
      </c>
      <c r="F192" s="404"/>
      <c r="G192" s="24"/>
      <c r="H192" s="7"/>
      <c r="I192" s="7"/>
      <c r="J192" s="7"/>
      <c r="K192" s="7"/>
      <c r="L192" s="112"/>
      <c r="M192" s="7"/>
      <c r="N192" s="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7"/>
      <c r="C193" s="7"/>
      <c r="D193" s="2"/>
      <c r="E193" s="444" t="s">
        <v>808</v>
      </c>
      <c r="F193" s="404"/>
      <c r="G193" s="24"/>
      <c r="H193" s="7"/>
      <c r="I193" s="7"/>
      <c r="J193" s="7"/>
      <c r="K193" s="7"/>
      <c r="L193" s="112"/>
      <c r="M193" s="7"/>
      <c r="N193" s="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7"/>
      <c r="C194" s="7"/>
      <c r="D194" s="32"/>
      <c r="E194" s="2"/>
      <c r="F194" s="2"/>
      <c r="G194" s="24"/>
      <c r="H194" s="7"/>
      <c r="I194" s="7"/>
      <c r="J194" s="7"/>
      <c r="K194" s="7"/>
      <c r="L194" s="112"/>
      <c r="M194" s="7"/>
      <c r="N194" s="7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7"/>
      <c r="C195" s="7"/>
      <c r="D195" s="2"/>
      <c r="E195" s="2"/>
      <c r="F195" s="2"/>
      <c r="G195" s="24"/>
      <c r="H195" s="7"/>
      <c r="I195" s="7"/>
      <c r="J195" s="7"/>
      <c r="K195" s="7"/>
      <c r="L195" s="112"/>
      <c r="M195" s="7"/>
      <c r="N195" s="7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41" t="s">
        <v>809</v>
      </c>
      <c r="B196" s="7"/>
      <c r="C196" s="7"/>
      <c r="D196" s="2"/>
      <c r="E196" s="2"/>
      <c r="F196" s="2"/>
      <c r="G196" s="24"/>
      <c r="H196" s="7"/>
      <c r="I196" s="7"/>
      <c r="J196" s="7"/>
      <c r="K196" s="7"/>
      <c r="L196" s="112"/>
      <c r="M196" s="7"/>
      <c r="N196" s="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7"/>
      <c r="C197" s="7"/>
      <c r="D197" s="32"/>
      <c r="E197" s="2"/>
      <c r="F197" s="2"/>
      <c r="G197" s="24"/>
      <c r="H197" s="7"/>
      <c r="I197" s="7"/>
      <c r="J197" s="7"/>
      <c r="K197" s="7"/>
      <c r="L197" s="112"/>
      <c r="M197" s="7"/>
      <c r="N197" s="7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3" t="s">
        <v>11</v>
      </c>
      <c r="B198" s="14" t="s">
        <v>12</v>
      </c>
      <c r="C198" s="14" t="s">
        <v>13</v>
      </c>
      <c r="D198" s="3" t="s">
        <v>14</v>
      </c>
      <c r="E198" s="3" t="s">
        <v>15</v>
      </c>
      <c r="F198" s="3"/>
      <c r="G198" s="26" t="s">
        <v>16</v>
      </c>
      <c r="H198" s="14" t="s">
        <v>688</v>
      </c>
      <c r="I198" s="14" t="s">
        <v>681</v>
      </c>
      <c r="J198" s="14" t="s">
        <v>688</v>
      </c>
      <c r="K198" s="14" t="s">
        <v>681</v>
      </c>
      <c r="L198" s="110"/>
      <c r="M198" s="14" t="str">
        <f>+VACANTES!H207</f>
        <v>UA05</v>
      </c>
      <c r="N198" s="14" t="str">
        <f>+VACANTES!K207</f>
        <v>FG</v>
      </c>
      <c r="O198" s="14" t="s">
        <v>22</v>
      </c>
      <c r="P198" s="14"/>
      <c r="Q198" s="14"/>
      <c r="R198" s="14"/>
      <c r="S198" s="3"/>
      <c r="T198" s="2"/>
      <c r="U198" s="2"/>
      <c r="V198" s="2"/>
      <c r="W198" s="2"/>
      <c r="X198" s="2"/>
      <c r="Y198" s="2"/>
      <c r="Z198" s="2"/>
    </row>
    <row r="199" spans="1:26" ht="15.75" customHeight="1">
      <c r="A199" s="2" t="e">
        <f t="shared" ref="A199:E199" si="302">+#REF!</f>
        <v>#REF!</v>
      </c>
      <c r="B199" s="2" t="e">
        <f t="shared" si="302"/>
        <v>#REF!</v>
      </c>
      <c r="C199" s="2" t="e">
        <f t="shared" si="302"/>
        <v>#REF!</v>
      </c>
      <c r="D199" s="2" t="e">
        <f t="shared" si="302"/>
        <v>#REF!</v>
      </c>
      <c r="E199" s="2" t="e">
        <f t="shared" si="302"/>
        <v>#REF!</v>
      </c>
      <c r="F199" s="24" t="s">
        <v>810</v>
      </c>
      <c r="G199" s="24" t="e">
        <f t="shared" ref="G199:G201" si="303">IF(D199="","",VLOOKUP(MID(A199,1,7),#REF!,3,FALSE))</f>
        <v>#REF!</v>
      </c>
      <c r="H199" s="7" t="e">
        <f t="shared" ref="H199:K199" si="304">+#REF!</f>
        <v>#REF!</v>
      </c>
      <c r="I199" s="7" t="e">
        <f t="shared" si="304"/>
        <v>#REF!</v>
      </c>
      <c r="J199" s="7" t="e">
        <f t="shared" si="304"/>
        <v>#REF!</v>
      </c>
      <c r="K199" s="7" t="e">
        <f t="shared" si="304"/>
        <v>#REF!</v>
      </c>
      <c r="L199" s="112"/>
      <c r="M199" s="2">
        <f>+VACANTES!H208</f>
        <v>40</v>
      </c>
      <c r="N199" s="2">
        <f>+VACANTES!K208</f>
        <v>10</v>
      </c>
      <c r="O199" s="7">
        <f>+M199+N199</f>
        <v>50</v>
      </c>
      <c r="P199" s="7"/>
      <c r="Q199" s="7"/>
      <c r="R199" s="7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 t="e">
        <f t="shared" ref="A200:E200" si="305">+#REF!</f>
        <v>#REF!</v>
      </c>
      <c r="B200" s="2" t="e">
        <f t="shared" si="305"/>
        <v>#REF!</v>
      </c>
      <c r="C200" s="2" t="e">
        <f t="shared" si="305"/>
        <v>#REF!</v>
      </c>
      <c r="D200" s="2" t="e">
        <f t="shared" si="305"/>
        <v>#REF!</v>
      </c>
      <c r="E200" s="2" t="e">
        <f t="shared" si="305"/>
        <v>#REF!</v>
      </c>
      <c r="F200" s="24" t="s">
        <v>811</v>
      </c>
      <c r="G200" s="24" t="e">
        <f t="shared" si="303"/>
        <v>#REF!</v>
      </c>
      <c r="H200" s="7" t="e">
        <f t="shared" ref="H200:K200" si="306">+#REF!</f>
        <v>#REF!</v>
      </c>
      <c r="I200" s="7" t="e">
        <f t="shared" si="306"/>
        <v>#REF!</v>
      </c>
      <c r="J200" s="7" t="e">
        <f t="shared" si="306"/>
        <v>#REF!</v>
      </c>
      <c r="K200" s="7" t="e">
        <f t="shared" si="306"/>
        <v>#REF!</v>
      </c>
      <c r="L200" s="112"/>
      <c r="M200" s="2">
        <f>+VACANTES!H209</f>
        <v>40</v>
      </c>
      <c r="N200" s="2">
        <f>+VACANTES!K209</f>
        <v>10</v>
      </c>
      <c r="O200" s="7">
        <f>+O199</f>
        <v>50</v>
      </c>
      <c r="P200" s="7"/>
      <c r="Q200" s="7"/>
      <c r="R200" s="7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7"/>
      <c r="C201" s="7"/>
      <c r="D201" s="2"/>
      <c r="E201" s="2"/>
      <c r="F201" s="2"/>
      <c r="G201" s="24" t="str">
        <f t="shared" si="303"/>
        <v/>
      </c>
      <c r="H201" s="7"/>
      <c r="I201" s="7"/>
      <c r="J201" s="7"/>
      <c r="K201" s="7"/>
      <c r="L201" s="11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7"/>
      <c r="C202" s="7"/>
      <c r="D202" s="2"/>
      <c r="E202" s="2"/>
      <c r="F202" s="2"/>
      <c r="G202" s="24"/>
      <c r="H202" s="7"/>
      <c r="I202" s="7"/>
      <c r="J202" s="7"/>
      <c r="K202" s="7"/>
      <c r="L202" s="112"/>
      <c r="M202" s="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7"/>
      <c r="C203" s="7"/>
      <c r="D203" s="2"/>
      <c r="E203" s="24"/>
      <c r="F203" s="24"/>
      <c r="G203" s="24"/>
      <c r="H203" s="7"/>
      <c r="I203" s="7"/>
      <c r="J203" s="14"/>
      <c r="K203" s="14"/>
      <c r="L203" s="110"/>
      <c r="M203" s="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7"/>
      <c r="C204" s="7"/>
      <c r="D204" s="2"/>
      <c r="E204" s="24"/>
      <c r="F204" s="24"/>
      <c r="G204" s="24"/>
      <c r="H204" s="7"/>
      <c r="I204" s="7"/>
      <c r="J204" s="14"/>
      <c r="K204" s="14"/>
      <c r="L204" s="110"/>
      <c r="M204" s="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7"/>
      <c r="C205" s="7"/>
      <c r="D205" s="2"/>
      <c r="E205" s="24"/>
      <c r="F205" s="24"/>
      <c r="G205" s="24"/>
      <c r="H205" s="7"/>
      <c r="I205" s="7"/>
      <c r="J205" s="14"/>
      <c r="K205" s="14"/>
      <c r="L205" s="110"/>
      <c r="M205" s="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7"/>
      <c r="C206" s="7"/>
      <c r="D206" s="2"/>
      <c r="E206" s="24"/>
      <c r="F206" s="24"/>
      <c r="G206" s="24"/>
      <c r="H206" s="7"/>
      <c r="I206" s="7"/>
      <c r="J206" s="14"/>
      <c r="K206" s="14"/>
      <c r="L206" s="110"/>
      <c r="M206" s="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7"/>
      <c r="C207" s="7"/>
      <c r="D207" s="2"/>
      <c r="E207" s="24"/>
      <c r="F207" s="24"/>
      <c r="G207" s="24"/>
      <c r="H207" s="7"/>
      <c r="I207" s="7"/>
      <c r="J207" s="14"/>
      <c r="K207" s="14"/>
      <c r="L207" s="110"/>
      <c r="M207" s="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7"/>
      <c r="C208" s="7"/>
      <c r="D208" s="2"/>
      <c r="E208" s="24"/>
      <c r="F208" s="24"/>
      <c r="G208" s="24"/>
      <c r="H208" s="7"/>
      <c r="I208" s="7"/>
      <c r="J208" s="14"/>
      <c r="K208" s="14"/>
      <c r="L208" s="110"/>
      <c r="M208" s="7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7"/>
      <c r="C209" s="7"/>
      <c r="D209" s="2"/>
      <c r="E209" s="24"/>
      <c r="F209" s="24"/>
      <c r="G209" s="24"/>
      <c r="H209" s="7"/>
      <c r="I209" s="7"/>
      <c r="J209" s="14"/>
      <c r="K209" s="14"/>
      <c r="L209" s="110"/>
      <c r="M209" s="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7"/>
      <c r="C210" s="7"/>
      <c r="D210" s="2"/>
      <c r="E210" s="24"/>
      <c r="F210" s="24"/>
      <c r="G210" s="24"/>
      <c r="H210" s="7"/>
      <c r="I210" s="7"/>
      <c r="J210" s="14"/>
      <c r="K210" s="14"/>
      <c r="L210" s="110"/>
      <c r="M210" s="7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7"/>
      <c r="C211" s="7"/>
      <c r="D211" s="2"/>
      <c r="E211" s="24"/>
      <c r="F211" s="24"/>
      <c r="G211" s="24"/>
      <c r="H211" s="7"/>
      <c r="I211" s="7"/>
      <c r="J211" s="14"/>
      <c r="K211" s="14"/>
      <c r="L211" s="110"/>
      <c r="M211" s="7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7"/>
      <c r="C212" s="7"/>
      <c r="D212" s="2"/>
      <c r="E212" s="24"/>
      <c r="F212" s="24"/>
      <c r="G212" s="24"/>
      <c r="H212" s="7"/>
      <c r="I212" s="7"/>
      <c r="J212" s="14"/>
      <c r="K212" s="14"/>
      <c r="L212" s="110"/>
      <c r="M212" s="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7"/>
      <c r="C213" s="7"/>
      <c r="D213" s="2"/>
      <c r="E213" s="24"/>
      <c r="F213" s="24"/>
      <c r="G213" s="24"/>
      <c r="H213" s="7"/>
      <c r="I213" s="7"/>
      <c r="J213" s="14"/>
      <c r="K213" s="14"/>
      <c r="L213" s="110"/>
      <c r="M213" s="7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7"/>
      <c r="C214" s="7"/>
      <c r="D214" s="2"/>
      <c r="E214" s="24"/>
      <c r="F214" s="24"/>
      <c r="G214" s="24"/>
      <c r="H214" s="7"/>
      <c r="I214" s="7"/>
      <c r="J214" s="14"/>
      <c r="K214" s="14"/>
      <c r="L214" s="110"/>
      <c r="M214" s="7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7"/>
      <c r="C215" s="7"/>
      <c r="D215" s="2"/>
      <c r="E215" s="24"/>
      <c r="F215" s="24"/>
      <c r="G215" s="24"/>
      <c r="H215" s="7"/>
      <c r="I215" s="7"/>
      <c r="J215" s="14"/>
      <c r="K215" s="14"/>
      <c r="L215" s="110"/>
      <c r="M215" s="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7"/>
      <c r="C216" s="7"/>
      <c r="D216" s="2"/>
      <c r="E216" s="24"/>
      <c r="F216" s="24"/>
      <c r="G216" s="24"/>
      <c r="H216" s="7"/>
      <c r="I216" s="7"/>
      <c r="J216" s="14"/>
      <c r="K216" s="14"/>
      <c r="L216" s="110"/>
      <c r="M216" s="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7"/>
      <c r="C217" s="7"/>
      <c r="D217" s="2"/>
      <c r="E217" s="24"/>
      <c r="F217" s="24"/>
      <c r="G217" s="24"/>
      <c r="H217" s="7"/>
      <c r="I217" s="7"/>
      <c r="J217" s="14"/>
      <c r="K217" s="14"/>
      <c r="L217" s="110"/>
      <c r="M217" s="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7"/>
      <c r="C218" s="7"/>
      <c r="D218" s="2"/>
      <c r="E218" s="24"/>
      <c r="F218" s="24"/>
      <c r="G218" s="24"/>
      <c r="H218" s="7"/>
      <c r="I218" s="7"/>
      <c r="J218" s="14"/>
      <c r="K218" s="14"/>
      <c r="L218" s="110"/>
      <c r="M218" s="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7"/>
      <c r="C219" s="7"/>
      <c r="D219" s="2"/>
      <c r="E219" s="24"/>
      <c r="F219" s="24"/>
      <c r="G219" s="24"/>
      <c r="H219" s="7"/>
      <c r="I219" s="7"/>
      <c r="J219" s="14"/>
      <c r="K219" s="14"/>
      <c r="L219" s="110"/>
      <c r="M219" s="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7"/>
      <c r="C220" s="7"/>
      <c r="D220" s="2"/>
      <c r="E220" s="24"/>
      <c r="F220" s="24"/>
      <c r="G220" s="24"/>
      <c r="H220" s="7"/>
      <c r="I220" s="7"/>
      <c r="J220" s="14"/>
      <c r="K220" s="14"/>
      <c r="L220" s="110"/>
      <c r="M220" s="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7"/>
      <c r="C221" s="7"/>
      <c r="D221" s="2"/>
      <c r="E221" s="24"/>
      <c r="F221" s="24"/>
      <c r="G221" s="24"/>
      <c r="H221" s="7"/>
      <c r="I221" s="7"/>
      <c r="J221" s="14"/>
      <c r="K221" s="14"/>
      <c r="L221" s="110"/>
      <c r="M221" s="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7"/>
      <c r="C222" s="7"/>
      <c r="D222" s="2"/>
      <c r="E222" s="24"/>
      <c r="F222" s="24"/>
      <c r="G222" s="24"/>
      <c r="H222" s="7"/>
      <c r="I222" s="7"/>
      <c r="J222" s="14"/>
      <c r="K222" s="14"/>
      <c r="L222" s="110"/>
      <c r="M222" s="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7"/>
      <c r="C223" s="7"/>
      <c r="D223" s="2"/>
      <c r="E223" s="24"/>
      <c r="F223" s="24"/>
      <c r="G223" s="24"/>
      <c r="H223" s="7"/>
      <c r="I223" s="7"/>
      <c r="J223" s="14"/>
      <c r="K223" s="14"/>
      <c r="L223" s="110"/>
      <c r="M223" s="7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7"/>
      <c r="C224" s="7"/>
      <c r="D224" s="2"/>
      <c r="E224" s="24"/>
      <c r="F224" s="24"/>
      <c r="G224" s="24"/>
      <c r="H224" s="7"/>
      <c r="I224" s="7"/>
      <c r="J224" s="14"/>
      <c r="K224" s="14"/>
      <c r="L224" s="110"/>
      <c r="M224" s="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7"/>
      <c r="C225" s="7"/>
      <c r="D225" s="2"/>
      <c r="E225" s="24"/>
      <c r="F225" s="24"/>
      <c r="G225" s="24"/>
      <c r="H225" s="7"/>
      <c r="I225" s="7"/>
      <c r="J225" s="14"/>
      <c r="K225" s="14"/>
      <c r="L225" s="110"/>
      <c r="M225" s="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7"/>
      <c r="C226" s="7"/>
      <c r="D226" s="2"/>
      <c r="E226" s="24"/>
      <c r="F226" s="24"/>
      <c r="G226" s="24"/>
      <c r="H226" s="7"/>
      <c r="I226" s="7"/>
      <c r="J226" s="14"/>
      <c r="K226" s="14"/>
      <c r="L226" s="110"/>
      <c r="M226" s="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7"/>
      <c r="C227" s="7"/>
      <c r="D227" s="2"/>
      <c r="E227" s="24"/>
      <c r="F227" s="24"/>
      <c r="G227" s="24"/>
      <c r="H227" s="7"/>
      <c r="I227" s="7"/>
      <c r="J227" s="14"/>
      <c r="K227" s="14"/>
      <c r="L227" s="110"/>
      <c r="M227" s="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7"/>
      <c r="C228" s="7"/>
      <c r="D228" s="2"/>
      <c r="E228" s="24"/>
      <c r="F228" s="24"/>
      <c r="G228" s="24"/>
      <c r="H228" s="7"/>
      <c r="I228" s="7"/>
      <c r="J228" s="14"/>
      <c r="K228" s="14"/>
      <c r="L228" s="110"/>
      <c r="M228" s="7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7"/>
      <c r="C229" s="7"/>
      <c r="D229" s="2"/>
      <c r="E229" s="24"/>
      <c r="F229" s="24"/>
      <c r="G229" s="24"/>
      <c r="H229" s="7"/>
      <c r="I229" s="7"/>
      <c r="J229" s="14"/>
      <c r="K229" s="14"/>
      <c r="L229" s="110"/>
      <c r="M229" s="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7"/>
      <c r="C230" s="7"/>
      <c r="D230" s="2"/>
      <c r="E230" s="24"/>
      <c r="F230" s="24"/>
      <c r="G230" s="24"/>
      <c r="H230" s="7"/>
      <c r="I230" s="7"/>
      <c r="J230" s="14"/>
      <c r="K230" s="14"/>
      <c r="L230" s="110"/>
      <c r="M230" s="7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7"/>
      <c r="C231" s="7"/>
      <c r="D231" s="2"/>
      <c r="E231" s="24"/>
      <c r="F231" s="24"/>
      <c r="G231" s="24"/>
      <c r="H231" s="7"/>
      <c r="I231" s="7"/>
      <c r="J231" s="14"/>
      <c r="K231" s="14"/>
      <c r="L231" s="110"/>
      <c r="M231" s="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7"/>
      <c r="C232" s="7"/>
      <c r="D232" s="2"/>
      <c r="E232" s="24"/>
      <c r="F232" s="24"/>
      <c r="G232" s="24"/>
      <c r="H232" s="7"/>
      <c r="I232" s="7"/>
      <c r="J232" s="14"/>
      <c r="K232" s="14"/>
      <c r="L232" s="110"/>
      <c r="M232" s="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7"/>
      <c r="C233" s="7"/>
      <c r="D233" s="2"/>
      <c r="E233" s="24"/>
      <c r="F233" s="24"/>
      <c r="G233" s="24"/>
      <c r="H233" s="7"/>
      <c r="I233" s="7"/>
      <c r="J233" s="14"/>
      <c r="K233" s="14"/>
      <c r="L233" s="110"/>
      <c r="M233" s="7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7"/>
      <c r="C234" s="7"/>
      <c r="D234" s="2"/>
      <c r="E234" s="24"/>
      <c r="F234" s="24"/>
      <c r="G234" s="24"/>
      <c r="H234" s="7"/>
      <c r="I234" s="7"/>
      <c r="J234" s="14"/>
      <c r="K234" s="14"/>
      <c r="L234" s="110"/>
      <c r="M234" s="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7"/>
      <c r="C235" s="7"/>
      <c r="D235" s="2"/>
      <c r="E235" s="24"/>
      <c r="F235" s="24"/>
      <c r="G235" s="24"/>
      <c r="H235" s="7"/>
      <c r="I235" s="7"/>
      <c r="J235" s="14"/>
      <c r="K235" s="14"/>
      <c r="L235" s="110"/>
      <c r="M235" s="7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7"/>
      <c r="C236" s="7"/>
      <c r="D236" s="2"/>
      <c r="E236" s="24"/>
      <c r="F236" s="24"/>
      <c r="G236" s="24"/>
      <c r="H236" s="7"/>
      <c r="I236" s="7"/>
      <c r="J236" s="14"/>
      <c r="K236" s="14"/>
      <c r="L236" s="110"/>
      <c r="M236" s="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7"/>
      <c r="C237" s="7"/>
      <c r="D237" s="2"/>
      <c r="E237" s="24"/>
      <c r="F237" s="24"/>
      <c r="G237" s="24"/>
      <c r="H237" s="7"/>
      <c r="I237" s="7"/>
      <c r="J237" s="14"/>
      <c r="K237" s="14"/>
      <c r="L237" s="110"/>
      <c r="M237" s="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7"/>
      <c r="C238" s="7"/>
      <c r="D238" s="2"/>
      <c r="E238" s="24"/>
      <c r="F238" s="24"/>
      <c r="G238" s="24"/>
      <c r="H238" s="7"/>
      <c r="I238" s="7"/>
      <c r="J238" s="14"/>
      <c r="K238" s="14"/>
      <c r="L238" s="110"/>
      <c r="M238" s="7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7"/>
      <c r="C239" s="7"/>
      <c r="D239" s="2"/>
      <c r="E239" s="24"/>
      <c r="F239" s="24"/>
      <c r="G239" s="24"/>
      <c r="H239" s="7"/>
      <c r="I239" s="7"/>
      <c r="J239" s="14"/>
      <c r="K239" s="14"/>
      <c r="L239" s="110"/>
      <c r="M239" s="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7"/>
      <c r="C240" s="7"/>
      <c r="D240" s="2"/>
      <c r="E240" s="24"/>
      <c r="F240" s="24"/>
      <c r="G240" s="24"/>
      <c r="H240" s="7"/>
      <c r="I240" s="7"/>
      <c r="J240" s="14"/>
      <c r="K240" s="14"/>
      <c r="L240" s="110"/>
      <c r="M240" s="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7"/>
      <c r="C241" s="7"/>
      <c r="D241" s="2"/>
      <c r="E241" s="24"/>
      <c r="F241" s="24"/>
      <c r="G241" s="24"/>
      <c r="H241" s="7"/>
      <c r="I241" s="7"/>
      <c r="J241" s="14"/>
      <c r="K241" s="14"/>
      <c r="L241" s="110"/>
      <c r="M241" s="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7"/>
      <c r="C242" s="7"/>
      <c r="D242" s="2"/>
      <c r="E242" s="24"/>
      <c r="F242" s="24"/>
      <c r="G242" s="24"/>
      <c r="H242" s="7"/>
      <c r="I242" s="7"/>
      <c r="J242" s="14"/>
      <c r="K242" s="14"/>
      <c r="L242" s="110"/>
      <c r="M242" s="7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7"/>
      <c r="C243" s="7"/>
      <c r="D243" s="2"/>
      <c r="E243" s="24"/>
      <c r="F243" s="24"/>
      <c r="G243" s="24"/>
      <c r="H243" s="7"/>
      <c r="I243" s="7"/>
      <c r="J243" s="14"/>
      <c r="K243" s="14"/>
      <c r="L243" s="110"/>
      <c r="M243" s="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7"/>
      <c r="C244" s="7"/>
      <c r="D244" s="2"/>
      <c r="E244" s="24"/>
      <c r="F244" s="24"/>
      <c r="G244" s="24"/>
      <c r="H244" s="7"/>
      <c r="I244" s="7"/>
      <c r="J244" s="14"/>
      <c r="K244" s="14"/>
      <c r="L244" s="110"/>
      <c r="M244" s="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7"/>
      <c r="C245" s="7"/>
      <c r="D245" s="2"/>
      <c r="E245" s="24"/>
      <c r="F245" s="24"/>
      <c r="G245" s="24"/>
      <c r="H245" s="7"/>
      <c r="I245" s="7"/>
      <c r="J245" s="14"/>
      <c r="K245" s="14"/>
      <c r="L245" s="110"/>
      <c r="M245" s="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7"/>
      <c r="C246" s="7"/>
      <c r="D246" s="2"/>
      <c r="E246" s="24"/>
      <c r="F246" s="24"/>
      <c r="G246" s="24"/>
      <c r="H246" s="7"/>
      <c r="I246" s="7"/>
      <c r="J246" s="14"/>
      <c r="K246" s="14"/>
      <c r="L246" s="110"/>
      <c r="M246" s="7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7"/>
      <c r="C247" s="7"/>
      <c r="D247" s="2"/>
      <c r="E247" s="24"/>
      <c r="F247" s="24"/>
      <c r="G247" s="24"/>
      <c r="H247" s="7"/>
      <c r="I247" s="7"/>
      <c r="J247" s="14"/>
      <c r="K247" s="14"/>
      <c r="L247" s="110"/>
      <c r="M247" s="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7"/>
      <c r="C248" s="7"/>
      <c r="D248" s="2"/>
      <c r="E248" s="24"/>
      <c r="F248" s="24"/>
      <c r="G248" s="24"/>
      <c r="H248" s="7"/>
      <c r="I248" s="7"/>
      <c r="J248" s="14"/>
      <c r="K248" s="14"/>
      <c r="L248" s="110"/>
      <c r="M248" s="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7"/>
      <c r="C249" s="7"/>
      <c r="D249" s="2"/>
      <c r="E249" s="24"/>
      <c r="F249" s="24"/>
      <c r="G249" s="24"/>
      <c r="H249" s="7"/>
      <c r="I249" s="7"/>
      <c r="J249" s="14"/>
      <c r="K249" s="14"/>
      <c r="L249" s="110"/>
      <c r="M249" s="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7"/>
      <c r="C250" s="7"/>
      <c r="D250" s="2"/>
      <c r="E250" s="24"/>
      <c r="F250" s="24"/>
      <c r="G250" s="24"/>
      <c r="H250" s="7"/>
      <c r="I250" s="7"/>
      <c r="J250" s="14"/>
      <c r="K250" s="14"/>
      <c r="L250" s="110"/>
      <c r="M250" s="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7"/>
      <c r="C251" s="7"/>
      <c r="D251" s="2"/>
      <c r="E251" s="24"/>
      <c r="F251" s="24"/>
      <c r="G251" s="24"/>
      <c r="H251" s="7"/>
      <c r="I251" s="7"/>
      <c r="J251" s="14"/>
      <c r="K251" s="14"/>
      <c r="L251" s="110"/>
      <c r="M251" s="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7"/>
      <c r="C252" s="7"/>
      <c r="D252" s="2"/>
      <c r="E252" s="24"/>
      <c r="F252" s="24"/>
      <c r="G252" s="24"/>
      <c r="H252" s="7"/>
      <c r="I252" s="7"/>
      <c r="J252" s="14"/>
      <c r="K252" s="14"/>
      <c r="L252" s="110"/>
      <c r="M252" s="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7"/>
      <c r="C253" s="7"/>
      <c r="D253" s="2"/>
      <c r="E253" s="24"/>
      <c r="F253" s="24"/>
      <c r="G253" s="24"/>
      <c r="H253" s="7"/>
      <c r="I253" s="7"/>
      <c r="J253" s="14"/>
      <c r="K253" s="14"/>
      <c r="L253" s="110"/>
      <c r="M253" s="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7"/>
      <c r="C254" s="7"/>
      <c r="D254" s="2"/>
      <c r="E254" s="24"/>
      <c r="F254" s="24"/>
      <c r="G254" s="24"/>
      <c r="H254" s="7"/>
      <c r="I254" s="7"/>
      <c r="J254" s="14"/>
      <c r="K254" s="14"/>
      <c r="L254" s="110"/>
      <c r="M254" s="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7"/>
      <c r="C255" s="7"/>
      <c r="D255" s="2"/>
      <c r="E255" s="24"/>
      <c r="F255" s="24"/>
      <c r="G255" s="24"/>
      <c r="H255" s="7"/>
      <c r="I255" s="7"/>
      <c r="J255" s="14"/>
      <c r="K255" s="14"/>
      <c r="L255" s="110"/>
      <c r="M255" s="7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7"/>
      <c r="C256" s="7"/>
      <c r="D256" s="2"/>
      <c r="E256" s="24"/>
      <c r="F256" s="24"/>
      <c r="G256" s="24"/>
      <c r="H256" s="7"/>
      <c r="I256" s="7"/>
      <c r="J256" s="14"/>
      <c r="K256" s="14"/>
      <c r="L256" s="110"/>
      <c r="M256" s="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7"/>
      <c r="C257" s="7"/>
      <c r="D257" s="2"/>
      <c r="E257" s="24"/>
      <c r="F257" s="24"/>
      <c r="G257" s="24"/>
      <c r="H257" s="7"/>
      <c r="I257" s="7"/>
      <c r="J257" s="14"/>
      <c r="K257" s="14"/>
      <c r="L257" s="110"/>
      <c r="M257" s="7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7"/>
      <c r="C258" s="7"/>
      <c r="D258" s="2"/>
      <c r="E258" s="24"/>
      <c r="F258" s="24"/>
      <c r="G258" s="24"/>
      <c r="H258" s="7"/>
      <c r="I258" s="7"/>
      <c r="J258" s="14"/>
      <c r="K258" s="14"/>
      <c r="L258" s="110"/>
      <c r="M258" s="7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7"/>
      <c r="C259" s="7"/>
      <c r="D259" s="2"/>
      <c r="E259" s="24"/>
      <c r="F259" s="24"/>
      <c r="G259" s="24"/>
      <c r="H259" s="7"/>
      <c r="I259" s="7"/>
      <c r="J259" s="14"/>
      <c r="K259" s="14"/>
      <c r="L259" s="110"/>
      <c r="M259" s="7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7"/>
      <c r="C260" s="7"/>
      <c r="D260" s="2"/>
      <c r="E260" s="24"/>
      <c r="F260" s="24"/>
      <c r="G260" s="24"/>
      <c r="H260" s="7"/>
      <c r="I260" s="7"/>
      <c r="J260" s="14"/>
      <c r="K260" s="14"/>
      <c r="L260" s="110"/>
      <c r="M260" s="7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7"/>
      <c r="C261" s="7"/>
      <c r="D261" s="2"/>
      <c r="E261" s="24"/>
      <c r="F261" s="24"/>
      <c r="G261" s="24"/>
      <c r="H261" s="7"/>
      <c r="I261" s="7"/>
      <c r="J261" s="14"/>
      <c r="K261" s="14"/>
      <c r="L261" s="110"/>
      <c r="M261" s="7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7"/>
      <c r="C262" s="7"/>
      <c r="D262" s="2"/>
      <c r="E262" s="24"/>
      <c r="F262" s="24"/>
      <c r="G262" s="24"/>
      <c r="H262" s="7"/>
      <c r="I262" s="7"/>
      <c r="J262" s="14"/>
      <c r="K262" s="14"/>
      <c r="L262" s="110"/>
      <c r="M262" s="7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7"/>
      <c r="C263" s="7"/>
      <c r="D263" s="2"/>
      <c r="E263" s="24"/>
      <c r="F263" s="24"/>
      <c r="G263" s="24"/>
      <c r="H263" s="7"/>
      <c r="I263" s="7"/>
      <c r="J263" s="14"/>
      <c r="K263" s="14"/>
      <c r="L263" s="110"/>
      <c r="M263" s="7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7"/>
      <c r="C264" s="7"/>
      <c r="D264" s="2"/>
      <c r="E264" s="24"/>
      <c r="F264" s="24"/>
      <c r="G264" s="24"/>
      <c r="H264" s="7"/>
      <c r="I264" s="7"/>
      <c r="J264" s="14"/>
      <c r="K264" s="14"/>
      <c r="L264" s="110"/>
      <c r="M264" s="7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7"/>
      <c r="C265" s="7"/>
      <c r="D265" s="2"/>
      <c r="E265" s="24"/>
      <c r="F265" s="24"/>
      <c r="G265" s="24"/>
      <c r="H265" s="7"/>
      <c r="I265" s="7"/>
      <c r="J265" s="14"/>
      <c r="K265" s="14"/>
      <c r="L265" s="110"/>
      <c r="M265" s="7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7"/>
      <c r="C266" s="7"/>
      <c r="D266" s="2"/>
      <c r="E266" s="24"/>
      <c r="F266" s="24"/>
      <c r="G266" s="24"/>
      <c r="H266" s="7"/>
      <c r="I266" s="7"/>
      <c r="J266" s="14"/>
      <c r="K266" s="14"/>
      <c r="L266" s="110"/>
      <c r="M266" s="7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7"/>
      <c r="C267" s="7"/>
      <c r="D267" s="2"/>
      <c r="E267" s="24"/>
      <c r="F267" s="24"/>
      <c r="G267" s="24"/>
      <c r="H267" s="7"/>
      <c r="I267" s="7"/>
      <c r="J267" s="14"/>
      <c r="K267" s="14"/>
      <c r="L267" s="110"/>
      <c r="M267" s="7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7"/>
      <c r="C268" s="7"/>
      <c r="D268" s="2"/>
      <c r="E268" s="24"/>
      <c r="F268" s="24"/>
      <c r="G268" s="24"/>
      <c r="H268" s="7"/>
      <c r="I268" s="7"/>
      <c r="J268" s="14"/>
      <c r="K268" s="14"/>
      <c r="L268" s="110"/>
      <c r="M268" s="7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7"/>
      <c r="C269" s="7"/>
      <c r="D269" s="2"/>
      <c r="E269" s="24"/>
      <c r="F269" s="24"/>
      <c r="G269" s="24"/>
      <c r="H269" s="7"/>
      <c r="I269" s="7"/>
      <c r="J269" s="14"/>
      <c r="K269" s="14"/>
      <c r="L269" s="110"/>
      <c r="M269" s="7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7"/>
      <c r="C270" s="7"/>
      <c r="D270" s="2"/>
      <c r="E270" s="24"/>
      <c r="F270" s="24"/>
      <c r="G270" s="24"/>
      <c r="H270" s="7"/>
      <c r="I270" s="7"/>
      <c r="J270" s="14"/>
      <c r="K270" s="14"/>
      <c r="L270" s="110"/>
      <c r="M270" s="7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7"/>
      <c r="C271" s="7"/>
      <c r="D271" s="2"/>
      <c r="E271" s="24"/>
      <c r="F271" s="24"/>
      <c r="G271" s="24"/>
      <c r="H271" s="7"/>
      <c r="I271" s="7"/>
      <c r="J271" s="14"/>
      <c r="K271" s="14"/>
      <c r="L271" s="110"/>
      <c r="M271" s="7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7"/>
      <c r="C272" s="7"/>
      <c r="D272" s="2"/>
      <c r="E272" s="24"/>
      <c r="F272" s="24"/>
      <c r="G272" s="24"/>
      <c r="H272" s="7"/>
      <c r="I272" s="7"/>
      <c r="J272" s="14"/>
      <c r="K272" s="14"/>
      <c r="L272" s="110"/>
      <c r="M272" s="7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7"/>
      <c r="C273" s="7"/>
      <c r="D273" s="2"/>
      <c r="E273" s="24"/>
      <c r="F273" s="24"/>
      <c r="G273" s="24"/>
      <c r="H273" s="7"/>
      <c r="I273" s="7"/>
      <c r="J273" s="14"/>
      <c r="K273" s="14"/>
      <c r="L273" s="110"/>
      <c r="M273" s="7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7"/>
      <c r="C274" s="7"/>
      <c r="D274" s="2"/>
      <c r="E274" s="24"/>
      <c r="F274" s="24"/>
      <c r="G274" s="24"/>
      <c r="H274" s="7"/>
      <c r="I274" s="7"/>
      <c r="J274" s="14"/>
      <c r="K274" s="14"/>
      <c r="L274" s="110"/>
      <c r="M274" s="7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7"/>
      <c r="C275" s="7"/>
      <c r="D275" s="2"/>
      <c r="E275" s="24"/>
      <c r="F275" s="24"/>
      <c r="G275" s="24"/>
      <c r="H275" s="7"/>
      <c r="I275" s="7"/>
      <c r="J275" s="14"/>
      <c r="K275" s="14"/>
      <c r="L275" s="110"/>
      <c r="M275" s="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7"/>
      <c r="C276" s="7"/>
      <c r="D276" s="2"/>
      <c r="E276" s="24"/>
      <c r="F276" s="24"/>
      <c r="G276" s="24"/>
      <c r="H276" s="7"/>
      <c r="I276" s="7"/>
      <c r="J276" s="14"/>
      <c r="K276" s="14"/>
      <c r="L276" s="110"/>
      <c r="M276" s="7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7"/>
      <c r="C277" s="7"/>
      <c r="D277" s="2"/>
      <c r="E277" s="24"/>
      <c r="F277" s="24"/>
      <c r="G277" s="24"/>
      <c r="H277" s="7"/>
      <c r="I277" s="7"/>
      <c r="J277" s="14"/>
      <c r="K277" s="14"/>
      <c r="L277" s="110"/>
      <c r="M277" s="7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7"/>
      <c r="C278" s="7"/>
      <c r="D278" s="2"/>
      <c r="E278" s="24"/>
      <c r="F278" s="24"/>
      <c r="G278" s="24"/>
      <c r="H278" s="7"/>
      <c r="I278" s="7"/>
      <c r="J278" s="14"/>
      <c r="K278" s="14"/>
      <c r="L278" s="110"/>
      <c r="M278" s="7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7"/>
      <c r="C279" s="7"/>
      <c r="D279" s="2"/>
      <c r="E279" s="24"/>
      <c r="F279" s="24"/>
      <c r="G279" s="24"/>
      <c r="H279" s="7"/>
      <c r="I279" s="7"/>
      <c r="J279" s="14"/>
      <c r="K279" s="14"/>
      <c r="L279" s="110"/>
      <c r="M279" s="7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7"/>
      <c r="C280" s="7"/>
      <c r="D280" s="2"/>
      <c r="E280" s="24"/>
      <c r="F280" s="24"/>
      <c r="G280" s="24"/>
      <c r="H280" s="7"/>
      <c r="I280" s="7"/>
      <c r="J280" s="14"/>
      <c r="K280" s="14"/>
      <c r="L280" s="110"/>
      <c r="M280" s="7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7"/>
      <c r="C281" s="7"/>
      <c r="D281" s="2"/>
      <c r="E281" s="24"/>
      <c r="F281" s="24"/>
      <c r="G281" s="24"/>
      <c r="H281" s="7"/>
      <c r="I281" s="7"/>
      <c r="J281" s="14"/>
      <c r="K281" s="14"/>
      <c r="L281" s="110"/>
      <c r="M281" s="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7"/>
      <c r="C282" s="7"/>
      <c r="D282" s="2"/>
      <c r="E282" s="24"/>
      <c r="F282" s="24"/>
      <c r="G282" s="24"/>
      <c r="H282" s="7"/>
      <c r="I282" s="7"/>
      <c r="J282" s="14"/>
      <c r="K282" s="14"/>
      <c r="L282" s="110"/>
      <c r="M282" s="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7"/>
      <c r="C283" s="7"/>
      <c r="D283" s="2"/>
      <c r="E283" s="24"/>
      <c r="F283" s="24"/>
      <c r="G283" s="24"/>
      <c r="H283" s="7"/>
      <c r="I283" s="7"/>
      <c r="J283" s="14"/>
      <c r="K283" s="14"/>
      <c r="L283" s="110"/>
      <c r="M283" s="7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7"/>
      <c r="C284" s="7"/>
      <c r="D284" s="2"/>
      <c r="E284" s="24"/>
      <c r="F284" s="24"/>
      <c r="G284" s="24"/>
      <c r="H284" s="7"/>
      <c r="I284" s="7"/>
      <c r="J284" s="14"/>
      <c r="K284" s="14"/>
      <c r="L284" s="110"/>
      <c r="M284" s="7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7"/>
      <c r="C285" s="7"/>
      <c r="D285" s="2"/>
      <c r="E285" s="24"/>
      <c r="F285" s="24"/>
      <c r="G285" s="24"/>
      <c r="H285" s="7"/>
      <c r="I285" s="7"/>
      <c r="J285" s="14"/>
      <c r="K285" s="14"/>
      <c r="L285" s="110"/>
      <c r="M285" s="7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7"/>
      <c r="C286" s="7"/>
      <c r="D286" s="2"/>
      <c r="E286" s="24"/>
      <c r="F286" s="24"/>
      <c r="G286" s="24"/>
      <c r="H286" s="7"/>
      <c r="I286" s="7"/>
      <c r="J286" s="14"/>
      <c r="K286" s="14"/>
      <c r="L286" s="110"/>
      <c r="M286" s="7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7"/>
      <c r="C287" s="7"/>
      <c r="D287" s="2"/>
      <c r="E287" s="24"/>
      <c r="F287" s="24"/>
      <c r="G287" s="24"/>
      <c r="H287" s="7"/>
      <c r="I287" s="7"/>
      <c r="J287" s="14"/>
      <c r="K287" s="14"/>
      <c r="L287" s="110"/>
      <c r="M287" s="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7"/>
      <c r="C288" s="7"/>
      <c r="D288" s="2"/>
      <c r="E288" s="24"/>
      <c r="F288" s="24"/>
      <c r="G288" s="24"/>
      <c r="H288" s="7"/>
      <c r="I288" s="7"/>
      <c r="J288" s="14"/>
      <c r="K288" s="14"/>
      <c r="L288" s="110"/>
      <c r="M288" s="7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7"/>
      <c r="C289" s="7"/>
      <c r="D289" s="2"/>
      <c r="E289" s="24"/>
      <c r="F289" s="24"/>
      <c r="G289" s="24"/>
      <c r="H289" s="7"/>
      <c r="I289" s="7"/>
      <c r="J289" s="14"/>
      <c r="K289" s="14"/>
      <c r="L289" s="110"/>
      <c r="M289" s="7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7"/>
      <c r="C290" s="7"/>
      <c r="D290" s="2"/>
      <c r="E290" s="24"/>
      <c r="F290" s="24"/>
      <c r="G290" s="24"/>
      <c r="H290" s="7"/>
      <c r="I290" s="7"/>
      <c r="J290" s="14"/>
      <c r="K290" s="14"/>
      <c r="L290" s="110"/>
      <c r="M290" s="7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7"/>
      <c r="C291" s="7"/>
      <c r="D291" s="2"/>
      <c r="E291" s="24"/>
      <c r="F291" s="24"/>
      <c r="G291" s="24"/>
      <c r="H291" s="7"/>
      <c r="I291" s="7"/>
      <c r="J291" s="14"/>
      <c r="K291" s="14"/>
      <c r="L291" s="110"/>
      <c r="M291" s="7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7"/>
      <c r="C292" s="7"/>
      <c r="D292" s="2"/>
      <c r="E292" s="24"/>
      <c r="F292" s="24"/>
      <c r="G292" s="24"/>
      <c r="H292" s="7"/>
      <c r="I292" s="7"/>
      <c r="J292" s="14"/>
      <c r="K292" s="14"/>
      <c r="L292" s="110"/>
      <c r="M292" s="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7"/>
      <c r="C293" s="7"/>
      <c r="D293" s="2"/>
      <c r="E293" s="24"/>
      <c r="F293" s="24"/>
      <c r="G293" s="24"/>
      <c r="H293" s="7"/>
      <c r="I293" s="7"/>
      <c r="J293" s="14"/>
      <c r="K293" s="14"/>
      <c r="L293" s="110"/>
      <c r="M293" s="7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7"/>
      <c r="C294" s="7"/>
      <c r="D294" s="2"/>
      <c r="E294" s="24"/>
      <c r="F294" s="24"/>
      <c r="G294" s="24"/>
      <c r="H294" s="7"/>
      <c r="I294" s="7"/>
      <c r="J294" s="14"/>
      <c r="K294" s="14"/>
      <c r="L294" s="110"/>
      <c r="M294" s="7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7"/>
      <c r="C295" s="7"/>
      <c r="D295" s="2"/>
      <c r="E295" s="24"/>
      <c r="F295" s="24"/>
      <c r="G295" s="24"/>
      <c r="H295" s="7"/>
      <c r="I295" s="7"/>
      <c r="J295" s="14"/>
      <c r="K295" s="14"/>
      <c r="L295" s="110"/>
      <c r="M295" s="7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7"/>
      <c r="C296" s="7"/>
      <c r="D296" s="2"/>
      <c r="E296" s="24"/>
      <c r="F296" s="24"/>
      <c r="G296" s="24"/>
      <c r="H296" s="7"/>
      <c r="I296" s="7"/>
      <c r="J296" s="14"/>
      <c r="K296" s="14"/>
      <c r="L296" s="110"/>
      <c r="M296" s="7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7"/>
      <c r="C297" s="7"/>
      <c r="D297" s="2"/>
      <c r="E297" s="24"/>
      <c r="F297" s="24"/>
      <c r="G297" s="24"/>
      <c r="H297" s="7"/>
      <c r="I297" s="7"/>
      <c r="J297" s="14"/>
      <c r="K297" s="14"/>
      <c r="L297" s="110"/>
      <c r="M297" s="7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7"/>
      <c r="C298" s="7"/>
      <c r="D298" s="2"/>
      <c r="E298" s="24"/>
      <c r="F298" s="24"/>
      <c r="G298" s="24"/>
      <c r="H298" s="7"/>
      <c r="I298" s="7"/>
      <c r="J298" s="14"/>
      <c r="K298" s="14"/>
      <c r="L298" s="110"/>
      <c r="M298" s="7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7"/>
      <c r="C299" s="7"/>
      <c r="D299" s="2"/>
      <c r="E299" s="24"/>
      <c r="F299" s="24"/>
      <c r="G299" s="24"/>
      <c r="H299" s="7"/>
      <c r="I299" s="7"/>
      <c r="J299" s="14"/>
      <c r="K299" s="14"/>
      <c r="L299" s="110"/>
      <c r="M299" s="7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7"/>
      <c r="C300" s="7"/>
      <c r="D300" s="2"/>
      <c r="E300" s="24"/>
      <c r="F300" s="24"/>
      <c r="G300" s="24"/>
      <c r="H300" s="7"/>
      <c r="I300" s="7"/>
      <c r="J300" s="14"/>
      <c r="K300" s="14"/>
      <c r="L300" s="110"/>
      <c r="M300" s="7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7"/>
      <c r="C301" s="7"/>
      <c r="D301" s="2"/>
      <c r="E301" s="24"/>
      <c r="F301" s="24"/>
      <c r="G301" s="24"/>
      <c r="H301" s="7"/>
      <c r="I301" s="7"/>
      <c r="J301" s="14"/>
      <c r="K301" s="14"/>
      <c r="L301" s="110"/>
      <c r="M301" s="7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7"/>
      <c r="C302" s="7"/>
      <c r="D302" s="2"/>
      <c r="E302" s="24"/>
      <c r="F302" s="24"/>
      <c r="G302" s="24"/>
      <c r="H302" s="7"/>
      <c r="I302" s="7"/>
      <c r="J302" s="14"/>
      <c r="K302" s="14"/>
      <c r="L302" s="110"/>
      <c r="M302" s="7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7"/>
      <c r="C303" s="7"/>
      <c r="D303" s="2"/>
      <c r="E303" s="24"/>
      <c r="F303" s="24"/>
      <c r="G303" s="24"/>
      <c r="H303" s="7"/>
      <c r="I303" s="7"/>
      <c r="J303" s="14"/>
      <c r="K303" s="14"/>
      <c r="L303" s="110"/>
      <c r="M303" s="7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7"/>
      <c r="C304" s="7"/>
      <c r="D304" s="2"/>
      <c r="E304" s="24"/>
      <c r="F304" s="24"/>
      <c r="G304" s="24"/>
      <c r="H304" s="7"/>
      <c r="I304" s="7"/>
      <c r="J304" s="14"/>
      <c r="K304" s="14"/>
      <c r="L304" s="110"/>
      <c r="M304" s="7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7"/>
      <c r="C305" s="7"/>
      <c r="D305" s="2"/>
      <c r="E305" s="24"/>
      <c r="F305" s="24"/>
      <c r="G305" s="24"/>
      <c r="H305" s="7"/>
      <c r="I305" s="7"/>
      <c r="J305" s="14"/>
      <c r="K305" s="14"/>
      <c r="L305" s="110"/>
      <c r="M305" s="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7"/>
      <c r="C306" s="7"/>
      <c r="D306" s="2"/>
      <c r="E306" s="24"/>
      <c r="F306" s="24"/>
      <c r="G306" s="24"/>
      <c r="H306" s="7"/>
      <c r="I306" s="7"/>
      <c r="J306" s="14"/>
      <c r="K306" s="14"/>
      <c r="L306" s="110"/>
      <c r="M306" s="7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7"/>
      <c r="C307" s="7"/>
      <c r="D307" s="2"/>
      <c r="E307" s="24"/>
      <c r="F307" s="24"/>
      <c r="G307" s="24"/>
      <c r="H307" s="7"/>
      <c r="I307" s="7"/>
      <c r="J307" s="14"/>
      <c r="K307" s="14"/>
      <c r="L307" s="110"/>
      <c r="M307" s="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7"/>
      <c r="C308" s="7"/>
      <c r="D308" s="2"/>
      <c r="E308" s="24"/>
      <c r="F308" s="24"/>
      <c r="G308" s="24"/>
      <c r="H308" s="7"/>
      <c r="I308" s="7"/>
      <c r="J308" s="14"/>
      <c r="K308" s="14"/>
      <c r="L308" s="110"/>
      <c r="M308" s="7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7"/>
      <c r="C309" s="7"/>
      <c r="D309" s="2"/>
      <c r="E309" s="24"/>
      <c r="F309" s="24"/>
      <c r="G309" s="24"/>
      <c r="H309" s="7"/>
      <c r="I309" s="7"/>
      <c r="J309" s="14"/>
      <c r="K309" s="14"/>
      <c r="L309" s="110"/>
      <c r="M309" s="7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7"/>
      <c r="C310" s="7"/>
      <c r="D310" s="2"/>
      <c r="E310" s="24"/>
      <c r="F310" s="24"/>
      <c r="G310" s="24"/>
      <c r="H310" s="7"/>
      <c r="I310" s="7"/>
      <c r="J310" s="14"/>
      <c r="K310" s="14"/>
      <c r="L310" s="110"/>
      <c r="M310" s="7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7"/>
      <c r="C311" s="7"/>
      <c r="D311" s="2"/>
      <c r="E311" s="24"/>
      <c r="F311" s="24"/>
      <c r="G311" s="24"/>
      <c r="H311" s="7"/>
      <c r="I311" s="7"/>
      <c r="J311" s="14"/>
      <c r="K311" s="14"/>
      <c r="L311" s="110"/>
      <c r="M311" s="7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7"/>
      <c r="C312" s="7"/>
      <c r="D312" s="2"/>
      <c r="E312" s="24"/>
      <c r="F312" s="24"/>
      <c r="G312" s="24"/>
      <c r="H312" s="7"/>
      <c r="I312" s="7"/>
      <c r="J312" s="14"/>
      <c r="K312" s="14"/>
      <c r="L312" s="110"/>
      <c r="M312" s="7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7"/>
      <c r="C313" s="7"/>
      <c r="D313" s="2"/>
      <c r="E313" s="24"/>
      <c r="F313" s="24"/>
      <c r="G313" s="24"/>
      <c r="H313" s="7"/>
      <c r="I313" s="7"/>
      <c r="J313" s="14"/>
      <c r="K313" s="14"/>
      <c r="L313" s="110"/>
      <c r="M313" s="7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7"/>
      <c r="C314" s="7"/>
      <c r="D314" s="2"/>
      <c r="E314" s="24"/>
      <c r="F314" s="24"/>
      <c r="G314" s="24"/>
      <c r="H314" s="7"/>
      <c r="I314" s="7"/>
      <c r="J314" s="14"/>
      <c r="K314" s="14"/>
      <c r="L314" s="110"/>
      <c r="M314" s="7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7"/>
      <c r="C315" s="7"/>
      <c r="D315" s="2"/>
      <c r="E315" s="24"/>
      <c r="F315" s="24"/>
      <c r="G315" s="24"/>
      <c r="H315" s="7"/>
      <c r="I315" s="7"/>
      <c r="J315" s="14"/>
      <c r="K315" s="14"/>
      <c r="L315" s="110"/>
      <c r="M315" s="7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7"/>
      <c r="C316" s="7"/>
      <c r="D316" s="2"/>
      <c r="E316" s="24"/>
      <c r="F316" s="24"/>
      <c r="G316" s="24"/>
      <c r="H316" s="7"/>
      <c r="I316" s="7"/>
      <c r="J316" s="14"/>
      <c r="K316" s="14"/>
      <c r="L316" s="110"/>
      <c r="M316" s="7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7"/>
      <c r="C317" s="7"/>
      <c r="D317" s="2"/>
      <c r="E317" s="24"/>
      <c r="F317" s="24"/>
      <c r="G317" s="24"/>
      <c r="H317" s="7"/>
      <c r="I317" s="7"/>
      <c r="J317" s="14"/>
      <c r="K317" s="14"/>
      <c r="L317" s="110"/>
      <c r="M317" s="7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7"/>
      <c r="C318" s="7"/>
      <c r="D318" s="2"/>
      <c r="E318" s="24"/>
      <c r="F318" s="24"/>
      <c r="G318" s="24"/>
      <c r="H318" s="7"/>
      <c r="I318" s="7"/>
      <c r="J318" s="14"/>
      <c r="K318" s="14"/>
      <c r="L318" s="110"/>
      <c r="M318" s="7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7"/>
      <c r="C319" s="7"/>
      <c r="D319" s="2"/>
      <c r="E319" s="24"/>
      <c r="F319" s="24"/>
      <c r="G319" s="24"/>
      <c r="H319" s="7"/>
      <c r="I319" s="7"/>
      <c r="J319" s="14"/>
      <c r="K319" s="14"/>
      <c r="L319" s="110"/>
      <c r="M319" s="7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7"/>
      <c r="C320" s="7"/>
      <c r="D320" s="2"/>
      <c r="E320" s="24"/>
      <c r="F320" s="24"/>
      <c r="G320" s="24"/>
      <c r="H320" s="7"/>
      <c r="I320" s="7"/>
      <c r="J320" s="14"/>
      <c r="K320" s="14"/>
      <c r="L320" s="110"/>
      <c r="M320" s="7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7"/>
      <c r="C321" s="7"/>
      <c r="D321" s="2"/>
      <c r="E321" s="24"/>
      <c r="F321" s="24"/>
      <c r="G321" s="24"/>
      <c r="H321" s="7"/>
      <c r="I321" s="7"/>
      <c r="J321" s="14"/>
      <c r="K321" s="14"/>
      <c r="L321" s="110"/>
      <c r="M321" s="7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7"/>
      <c r="C322" s="7"/>
      <c r="D322" s="2"/>
      <c r="E322" s="24"/>
      <c r="F322" s="24"/>
      <c r="G322" s="24"/>
      <c r="H322" s="7"/>
      <c r="I322" s="7"/>
      <c r="J322" s="14"/>
      <c r="K322" s="14"/>
      <c r="L322" s="110"/>
      <c r="M322" s="7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7"/>
      <c r="C323" s="7"/>
      <c r="D323" s="2"/>
      <c r="E323" s="24"/>
      <c r="F323" s="24"/>
      <c r="G323" s="24"/>
      <c r="H323" s="7"/>
      <c r="I323" s="7"/>
      <c r="J323" s="14"/>
      <c r="K323" s="14"/>
      <c r="L323" s="110"/>
      <c r="M323" s="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7"/>
      <c r="C324" s="7"/>
      <c r="D324" s="2"/>
      <c r="E324" s="24"/>
      <c r="F324" s="24"/>
      <c r="G324" s="24"/>
      <c r="H324" s="7"/>
      <c r="I324" s="7"/>
      <c r="J324" s="14"/>
      <c r="K324" s="14"/>
      <c r="L324" s="110"/>
      <c r="M324" s="7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7"/>
      <c r="C325" s="7"/>
      <c r="D325" s="2"/>
      <c r="E325" s="24"/>
      <c r="F325" s="24"/>
      <c r="G325" s="24"/>
      <c r="H325" s="7"/>
      <c r="I325" s="7"/>
      <c r="J325" s="14"/>
      <c r="K325" s="14"/>
      <c r="L325" s="110"/>
      <c r="M325" s="7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7"/>
      <c r="C326" s="7"/>
      <c r="D326" s="2"/>
      <c r="E326" s="24"/>
      <c r="F326" s="24"/>
      <c r="G326" s="24"/>
      <c r="H326" s="7"/>
      <c r="I326" s="7"/>
      <c r="J326" s="14"/>
      <c r="K326" s="14"/>
      <c r="L326" s="110"/>
      <c r="M326" s="7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7"/>
      <c r="C327" s="7"/>
      <c r="D327" s="2"/>
      <c r="E327" s="24"/>
      <c r="F327" s="24"/>
      <c r="G327" s="24"/>
      <c r="H327" s="7"/>
      <c r="I327" s="7"/>
      <c r="J327" s="14"/>
      <c r="K327" s="14"/>
      <c r="L327" s="110"/>
      <c r="M327" s="7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7"/>
      <c r="C328" s="7"/>
      <c r="D328" s="2"/>
      <c r="E328" s="24"/>
      <c r="F328" s="24"/>
      <c r="G328" s="24"/>
      <c r="H328" s="7"/>
      <c r="I328" s="7"/>
      <c r="J328" s="14"/>
      <c r="K328" s="14"/>
      <c r="L328" s="110"/>
      <c r="M328" s="7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7"/>
      <c r="C329" s="7"/>
      <c r="D329" s="2"/>
      <c r="E329" s="24"/>
      <c r="F329" s="24"/>
      <c r="G329" s="24"/>
      <c r="H329" s="7"/>
      <c r="I329" s="7"/>
      <c r="J329" s="14"/>
      <c r="K329" s="14"/>
      <c r="L329" s="110"/>
      <c r="M329" s="7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7"/>
      <c r="C330" s="7"/>
      <c r="D330" s="2"/>
      <c r="E330" s="24"/>
      <c r="F330" s="24"/>
      <c r="G330" s="24"/>
      <c r="H330" s="7"/>
      <c r="I330" s="7"/>
      <c r="J330" s="14"/>
      <c r="K330" s="14"/>
      <c r="L330" s="110"/>
      <c r="M330" s="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7"/>
      <c r="C331" s="7"/>
      <c r="D331" s="2"/>
      <c r="E331" s="24"/>
      <c r="F331" s="24"/>
      <c r="G331" s="24"/>
      <c r="H331" s="7"/>
      <c r="I331" s="7"/>
      <c r="J331" s="14"/>
      <c r="K331" s="14"/>
      <c r="L331" s="110"/>
      <c r="M331" s="7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7"/>
      <c r="C332" s="7"/>
      <c r="D332" s="2"/>
      <c r="E332" s="24"/>
      <c r="F332" s="24"/>
      <c r="G332" s="24"/>
      <c r="H332" s="7"/>
      <c r="I332" s="7"/>
      <c r="J332" s="14"/>
      <c r="K332" s="14"/>
      <c r="L332" s="110"/>
      <c r="M332" s="7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7"/>
      <c r="C333" s="7"/>
      <c r="D333" s="2"/>
      <c r="E333" s="24"/>
      <c r="F333" s="24"/>
      <c r="G333" s="24"/>
      <c r="H333" s="7"/>
      <c r="I333" s="7"/>
      <c r="J333" s="14"/>
      <c r="K333" s="14"/>
      <c r="L333" s="110"/>
      <c r="M333" s="7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7"/>
      <c r="C334" s="7"/>
      <c r="D334" s="2"/>
      <c r="E334" s="24"/>
      <c r="F334" s="24"/>
      <c r="G334" s="24"/>
      <c r="H334" s="7"/>
      <c r="I334" s="7"/>
      <c r="J334" s="14"/>
      <c r="K334" s="14"/>
      <c r="L334" s="110"/>
      <c r="M334" s="7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7"/>
      <c r="C335" s="7"/>
      <c r="D335" s="2"/>
      <c r="E335" s="24"/>
      <c r="F335" s="24"/>
      <c r="G335" s="24"/>
      <c r="H335" s="7"/>
      <c r="I335" s="7"/>
      <c r="J335" s="14"/>
      <c r="K335" s="14"/>
      <c r="L335" s="110"/>
      <c r="M335" s="7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7"/>
      <c r="C336" s="7"/>
      <c r="D336" s="2"/>
      <c r="E336" s="24"/>
      <c r="F336" s="24"/>
      <c r="G336" s="24"/>
      <c r="H336" s="7"/>
      <c r="I336" s="7"/>
      <c r="J336" s="14"/>
      <c r="K336" s="14"/>
      <c r="L336" s="110"/>
      <c r="M336" s="7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7"/>
      <c r="C337" s="7"/>
      <c r="D337" s="2"/>
      <c r="E337" s="24"/>
      <c r="F337" s="24"/>
      <c r="G337" s="24"/>
      <c r="H337" s="7"/>
      <c r="I337" s="7"/>
      <c r="J337" s="14"/>
      <c r="K337" s="14"/>
      <c r="L337" s="110"/>
      <c r="M337" s="7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7"/>
      <c r="C338" s="7"/>
      <c r="D338" s="2"/>
      <c r="E338" s="24"/>
      <c r="F338" s="24"/>
      <c r="G338" s="24"/>
      <c r="H338" s="7"/>
      <c r="I338" s="7"/>
      <c r="J338" s="14"/>
      <c r="K338" s="14"/>
      <c r="L338" s="110"/>
      <c r="M338" s="7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7"/>
      <c r="C339" s="7"/>
      <c r="D339" s="2"/>
      <c r="E339" s="24"/>
      <c r="F339" s="24"/>
      <c r="G339" s="24"/>
      <c r="H339" s="7"/>
      <c r="I339" s="7"/>
      <c r="J339" s="14"/>
      <c r="K339" s="14"/>
      <c r="L339" s="110"/>
      <c r="M339" s="7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7"/>
      <c r="C340" s="7"/>
      <c r="D340" s="2"/>
      <c r="E340" s="24"/>
      <c r="F340" s="24"/>
      <c r="G340" s="24"/>
      <c r="H340" s="7"/>
      <c r="I340" s="7"/>
      <c r="J340" s="14"/>
      <c r="K340" s="14"/>
      <c r="L340" s="110"/>
      <c r="M340" s="7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7"/>
      <c r="C341" s="7"/>
      <c r="D341" s="2"/>
      <c r="E341" s="24"/>
      <c r="F341" s="24"/>
      <c r="G341" s="24"/>
      <c r="H341" s="7"/>
      <c r="I341" s="7"/>
      <c r="J341" s="14"/>
      <c r="K341" s="14"/>
      <c r="L341" s="110"/>
      <c r="M341" s="7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7"/>
      <c r="C342" s="7"/>
      <c r="D342" s="2"/>
      <c r="E342" s="24"/>
      <c r="F342" s="24"/>
      <c r="G342" s="24"/>
      <c r="H342" s="7"/>
      <c r="I342" s="7"/>
      <c r="J342" s="14"/>
      <c r="K342" s="14"/>
      <c r="L342" s="110"/>
      <c r="M342" s="7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7"/>
      <c r="C343" s="7"/>
      <c r="D343" s="2"/>
      <c r="E343" s="24"/>
      <c r="F343" s="24"/>
      <c r="G343" s="24"/>
      <c r="H343" s="7"/>
      <c r="I343" s="7"/>
      <c r="J343" s="14"/>
      <c r="K343" s="14"/>
      <c r="L343" s="110"/>
      <c r="M343" s="7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7"/>
      <c r="C344" s="7"/>
      <c r="D344" s="2"/>
      <c r="E344" s="24"/>
      <c r="F344" s="24"/>
      <c r="G344" s="24"/>
      <c r="H344" s="7"/>
      <c r="I344" s="7"/>
      <c r="J344" s="14"/>
      <c r="K344" s="14"/>
      <c r="L344" s="110"/>
      <c r="M344" s="7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7"/>
      <c r="C345" s="7"/>
      <c r="D345" s="2"/>
      <c r="E345" s="24"/>
      <c r="F345" s="24"/>
      <c r="G345" s="24"/>
      <c r="H345" s="7"/>
      <c r="I345" s="7"/>
      <c r="J345" s="14"/>
      <c r="K345" s="14"/>
      <c r="L345" s="110"/>
      <c r="M345" s="7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7"/>
      <c r="C346" s="7"/>
      <c r="D346" s="2"/>
      <c r="E346" s="24"/>
      <c r="F346" s="24"/>
      <c r="G346" s="24"/>
      <c r="H346" s="7"/>
      <c r="I346" s="7"/>
      <c r="J346" s="14"/>
      <c r="K346" s="14"/>
      <c r="L346" s="110"/>
      <c r="M346" s="7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7"/>
      <c r="C347" s="7"/>
      <c r="D347" s="2"/>
      <c r="E347" s="24"/>
      <c r="F347" s="24"/>
      <c r="G347" s="24"/>
      <c r="H347" s="7"/>
      <c r="I347" s="7"/>
      <c r="J347" s="14"/>
      <c r="K347" s="14"/>
      <c r="L347" s="110"/>
      <c r="M347" s="7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7"/>
      <c r="C348" s="7"/>
      <c r="D348" s="2"/>
      <c r="E348" s="24"/>
      <c r="F348" s="24"/>
      <c r="G348" s="24"/>
      <c r="H348" s="7"/>
      <c r="I348" s="7"/>
      <c r="J348" s="14"/>
      <c r="K348" s="14"/>
      <c r="L348" s="110"/>
      <c r="M348" s="7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7"/>
      <c r="C349" s="7"/>
      <c r="D349" s="2"/>
      <c r="E349" s="24"/>
      <c r="F349" s="24"/>
      <c r="G349" s="24"/>
      <c r="H349" s="7"/>
      <c r="I349" s="7"/>
      <c r="J349" s="14"/>
      <c r="K349" s="14"/>
      <c r="L349" s="110"/>
      <c r="M349" s="7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7"/>
      <c r="C350" s="7"/>
      <c r="D350" s="2"/>
      <c r="E350" s="24"/>
      <c r="F350" s="24"/>
      <c r="G350" s="24"/>
      <c r="H350" s="7"/>
      <c r="I350" s="7"/>
      <c r="J350" s="14"/>
      <c r="K350" s="14"/>
      <c r="L350" s="110"/>
      <c r="M350" s="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7"/>
      <c r="C351" s="7"/>
      <c r="D351" s="2"/>
      <c r="E351" s="24"/>
      <c r="F351" s="24"/>
      <c r="G351" s="24"/>
      <c r="H351" s="7"/>
      <c r="I351" s="7"/>
      <c r="J351" s="14"/>
      <c r="K351" s="14"/>
      <c r="L351" s="110"/>
      <c r="M351" s="7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7"/>
      <c r="C352" s="7"/>
      <c r="D352" s="2"/>
      <c r="E352" s="24"/>
      <c r="F352" s="24"/>
      <c r="G352" s="24"/>
      <c r="H352" s="7"/>
      <c r="I352" s="7"/>
      <c r="J352" s="14"/>
      <c r="K352" s="14"/>
      <c r="L352" s="110"/>
      <c r="M352" s="7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7"/>
      <c r="C353" s="7"/>
      <c r="D353" s="2"/>
      <c r="E353" s="24"/>
      <c r="F353" s="24"/>
      <c r="G353" s="24"/>
      <c r="H353" s="7"/>
      <c r="I353" s="7"/>
      <c r="J353" s="14"/>
      <c r="K353" s="14"/>
      <c r="L353" s="110"/>
      <c r="M353" s="7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7"/>
      <c r="C354" s="7"/>
      <c r="D354" s="2"/>
      <c r="E354" s="24"/>
      <c r="F354" s="24"/>
      <c r="G354" s="24"/>
      <c r="H354" s="7"/>
      <c r="I354" s="7"/>
      <c r="J354" s="14"/>
      <c r="K354" s="14"/>
      <c r="L354" s="110"/>
      <c r="M354" s="7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7"/>
      <c r="C355" s="7"/>
      <c r="D355" s="2"/>
      <c r="E355" s="24"/>
      <c r="F355" s="24"/>
      <c r="G355" s="24"/>
      <c r="H355" s="7"/>
      <c r="I355" s="7"/>
      <c r="J355" s="14"/>
      <c r="K355" s="14"/>
      <c r="L355" s="110"/>
      <c r="M355" s="7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7"/>
      <c r="C356" s="7"/>
      <c r="D356" s="2"/>
      <c r="E356" s="24"/>
      <c r="F356" s="24"/>
      <c r="G356" s="24"/>
      <c r="H356" s="7"/>
      <c r="I356" s="7"/>
      <c r="J356" s="14"/>
      <c r="K356" s="14"/>
      <c r="L356" s="110"/>
      <c r="M356" s="7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7"/>
      <c r="C357" s="7"/>
      <c r="D357" s="2"/>
      <c r="E357" s="24"/>
      <c r="F357" s="24"/>
      <c r="G357" s="24"/>
      <c r="H357" s="7"/>
      <c r="I357" s="7"/>
      <c r="J357" s="14"/>
      <c r="K357" s="14"/>
      <c r="L357" s="110"/>
      <c r="M357" s="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7"/>
      <c r="C358" s="7"/>
      <c r="D358" s="2"/>
      <c r="E358" s="24"/>
      <c r="F358" s="24"/>
      <c r="G358" s="24"/>
      <c r="H358" s="7"/>
      <c r="I358" s="7"/>
      <c r="J358" s="14"/>
      <c r="K358" s="14"/>
      <c r="L358" s="110"/>
      <c r="M358" s="7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7"/>
      <c r="C359" s="7"/>
      <c r="D359" s="2"/>
      <c r="E359" s="24"/>
      <c r="F359" s="24"/>
      <c r="G359" s="24"/>
      <c r="H359" s="7"/>
      <c r="I359" s="7"/>
      <c r="J359" s="14"/>
      <c r="K359" s="14"/>
      <c r="L359" s="110"/>
      <c r="M359" s="7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7"/>
      <c r="C360" s="7"/>
      <c r="D360" s="2"/>
      <c r="E360" s="24"/>
      <c r="F360" s="24"/>
      <c r="G360" s="24"/>
      <c r="H360" s="7"/>
      <c r="I360" s="7"/>
      <c r="J360" s="14"/>
      <c r="K360" s="14"/>
      <c r="L360" s="110"/>
      <c r="M360" s="7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7"/>
      <c r="C361" s="7"/>
      <c r="D361" s="2"/>
      <c r="E361" s="24"/>
      <c r="F361" s="24"/>
      <c r="G361" s="24"/>
      <c r="H361" s="7"/>
      <c r="I361" s="7"/>
      <c r="J361" s="14"/>
      <c r="K361" s="14"/>
      <c r="L361" s="110"/>
      <c r="M361" s="7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7"/>
      <c r="C362" s="7"/>
      <c r="D362" s="2"/>
      <c r="E362" s="24"/>
      <c r="F362" s="24"/>
      <c r="G362" s="24"/>
      <c r="H362" s="7"/>
      <c r="I362" s="7"/>
      <c r="J362" s="14"/>
      <c r="K362" s="14"/>
      <c r="L362" s="110"/>
      <c r="M362" s="7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7"/>
      <c r="C363" s="7"/>
      <c r="D363" s="2"/>
      <c r="E363" s="24"/>
      <c r="F363" s="24"/>
      <c r="G363" s="24"/>
      <c r="H363" s="7"/>
      <c r="I363" s="7"/>
      <c r="J363" s="14"/>
      <c r="K363" s="14"/>
      <c r="L363" s="110"/>
      <c r="M363" s="7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7"/>
      <c r="C364" s="7"/>
      <c r="D364" s="2"/>
      <c r="E364" s="24"/>
      <c r="F364" s="24"/>
      <c r="G364" s="24"/>
      <c r="H364" s="7"/>
      <c r="I364" s="7"/>
      <c r="J364" s="14"/>
      <c r="K364" s="14"/>
      <c r="L364" s="110"/>
      <c r="M364" s="7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7"/>
      <c r="C365" s="7"/>
      <c r="D365" s="2"/>
      <c r="E365" s="24"/>
      <c r="F365" s="24"/>
      <c r="G365" s="24"/>
      <c r="H365" s="7"/>
      <c r="I365" s="7"/>
      <c r="J365" s="14"/>
      <c r="K365" s="14"/>
      <c r="L365" s="110"/>
      <c r="M365" s="7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7"/>
      <c r="C366" s="7"/>
      <c r="D366" s="2"/>
      <c r="E366" s="24"/>
      <c r="F366" s="24"/>
      <c r="G366" s="24"/>
      <c r="H366" s="7"/>
      <c r="I366" s="7"/>
      <c r="J366" s="14"/>
      <c r="K366" s="14"/>
      <c r="L366" s="110"/>
      <c r="M366" s="7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7"/>
      <c r="C367" s="7"/>
      <c r="D367" s="2"/>
      <c r="E367" s="24"/>
      <c r="F367" s="24"/>
      <c r="G367" s="24"/>
      <c r="H367" s="7"/>
      <c r="I367" s="7"/>
      <c r="J367" s="14"/>
      <c r="K367" s="14"/>
      <c r="L367" s="110"/>
      <c r="M367" s="7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7"/>
      <c r="C368" s="7"/>
      <c r="D368" s="2"/>
      <c r="E368" s="24"/>
      <c r="F368" s="24"/>
      <c r="G368" s="24"/>
      <c r="H368" s="7"/>
      <c r="I368" s="7"/>
      <c r="J368" s="14"/>
      <c r="K368" s="14"/>
      <c r="L368" s="110"/>
      <c r="M368" s="7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7"/>
      <c r="C369" s="7"/>
      <c r="D369" s="2"/>
      <c r="E369" s="24"/>
      <c r="F369" s="24"/>
      <c r="G369" s="24"/>
      <c r="H369" s="7"/>
      <c r="I369" s="7"/>
      <c r="J369" s="14"/>
      <c r="K369" s="14"/>
      <c r="L369" s="110"/>
      <c r="M369" s="7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7"/>
      <c r="C370" s="7"/>
      <c r="D370" s="2"/>
      <c r="E370" s="24"/>
      <c r="F370" s="24"/>
      <c r="G370" s="24"/>
      <c r="H370" s="7"/>
      <c r="I370" s="7"/>
      <c r="J370" s="14"/>
      <c r="K370" s="14"/>
      <c r="L370" s="110"/>
      <c r="M370" s="7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7"/>
      <c r="C371" s="7"/>
      <c r="D371" s="2"/>
      <c r="E371" s="24"/>
      <c r="F371" s="24"/>
      <c r="G371" s="24"/>
      <c r="H371" s="7"/>
      <c r="I371" s="7"/>
      <c r="J371" s="14"/>
      <c r="K371" s="14"/>
      <c r="L371" s="110"/>
      <c r="M371" s="7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7"/>
      <c r="C372" s="7"/>
      <c r="D372" s="2"/>
      <c r="E372" s="24"/>
      <c r="F372" s="24"/>
      <c r="G372" s="24"/>
      <c r="H372" s="7"/>
      <c r="I372" s="7"/>
      <c r="J372" s="14"/>
      <c r="K372" s="14"/>
      <c r="L372" s="110"/>
      <c r="M372" s="7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7"/>
      <c r="C373" s="7"/>
      <c r="D373" s="2"/>
      <c r="E373" s="24"/>
      <c r="F373" s="24"/>
      <c r="G373" s="24"/>
      <c r="H373" s="7"/>
      <c r="I373" s="7"/>
      <c r="J373" s="14"/>
      <c r="K373" s="14"/>
      <c r="L373" s="110"/>
      <c r="M373" s="7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7"/>
      <c r="C374" s="7"/>
      <c r="D374" s="2"/>
      <c r="E374" s="24"/>
      <c r="F374" s="24"/>
      <c r="G374" s="24"/>
      <c r="H374" s="7"/>
      <c r="I374" s="7"/>
      <c r="J374" s="14"/>
      <c r="K374" s="14"/>
      <c r="L374" s="110"/>
      <c r="M374" s="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7"/>
      <c r="C375" s="7"/>
      <c r="D375" s="2"/>
      <c r="E375" s="24"/>
      <c r="F375" s="24"/>
      <c r="G375" s="24"/>
      <c r="H375" s="7"/>
      <c r="I375" s="7"/>
      <c r="J375" s="14"/>
      <c r="K375" s="14"/>
      <c r="L375" s="110"/>
      <c r="M375" s="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7"/>
      <c r="C376" s="7"/>
      <c r="D376" s="2"/>
      <c r="E376" s="24"/>
      <c r="F376" s="24"/>
      <c r="G376" s="24"/>
      <c r="H376" s="7"/>
      <c r="I376" s="7"/>
      <c r="J376" s="14"/>
      <c r="K376" s="14"/>
      <c r="L376" s="110"/>
      <c r="M376" s="7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7"/>
      <c r="C377" s="7"/>
      <c r="D377" s="2"/>
      <c r="E377" s="24"/>
      <c r="F377" s="24"/>
      <c r="G377" s="24"/>
      <c r="H377" s="7"/>
      <c r="I377" s="7"/>
      <c r="J377" s="14"/>
      <c r="K377" s="14"/>
      <c r="L377" s="110"/>
      <c r="M377" s="7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7"/>
      <c r="C378" s="7"/>
      <c r="D378" s="2"/>
      <c r="E378" s="24"/>
      <c r="F378" s="24"/>
      <c r="G378" s="24"/>
      <c r="H378" s="7"/>
      <c r="I378" s="7"/>
      <c r="J378" s="14"/>
      <c r="K378" s="14"/>
      <c r="L378" s="110"/>
      <c r="M378" s="7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7"/>
      <c r="C379" s="7"/>
      <c r="D379" s="2"/>
      <c r="E379" s="24"/>
      <c r="F379" s="24"/>
      <c r="G379" s="24"/>
      <c r="H379" s="7"/>
      <c r="I379" s="7"/>
      <c r="J379" s="14"/>
      <c r="K379" s="14"/>
      <c r="L379" s="110"/>
      <c r="M379" s="7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7"/>
      <c r="C380" s="7"/>
      <c r="D380" s="2"/>
      <c r="E380" s="24"/>
      <c r="F380" s="24"/>
      <c r="G380" s="24"/>
      <c r="H380" s="7"/>
      <c r="I380" s="7"/>
      <c r="J380" s="14"/>
      <c r="K380" s="14"/>
      <c r="L380" s="110"/>
      <c r="M380" s="7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7"/>
      <c r="C381" s="7"/>
      <c r="D381" s="2"/>
      <c r="E381" s="24"/>
      <c r="F381" s="24"/>
      <c r="G381" s="24"/>
      <c r="H381" s="7"/>
      <c r="I381" s="7"/>
      <c r="J381" s="14"/>
      <c r="K381" s="14"/>
      <c r="L381" s="110"/>
      <c r="M381" s="7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7"/>
      <c r="C382" s="7"/>
      <c r="D382" s="2"/>
      <c r="E382" s="24"/>
      <c r="F382" s="24"/>
      <c r="G382" s="24"/>
      <c r="H382" s="7"/>
      <c r="I382" s="7"/>
      <c r="J382" s="14"/>
      <c r="K382" s="14"/>
      <c r="L382" s="110"/>
      <c r="M382" s="7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7"/>
      <c r="C383" s="7"/>
      <c r="D383" s="2"/>
      <c r="E383" s="24"/>
      <c r="F383" s="24"/>
      <c r="G383" s="24"/>
      <c r="H383" s="7"/>
      <c r="I383" s="7"/>
      <c r="J383" s="14"/>
      <c r="K383" s="14"/>
      <c r="L383" s="110"/>
      <c r="M383" s="7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7"/>
      <c r="C384" s="7"/>
      <c r="D384" s="2"/>
      <c r="E384" s="24"/>
      <c r="F384" s="24"/>
      <c r="G384" s="24"/>
      <c r="H384" s="7"/>
      <c r="I384" s="7"/>
      <c r="J384" s="14"/>
      <c r="K384" s="14"/>
      <c r="L384" s="110"/>
      <c r="M384" s="7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7"/>
      <c r="C385" s="7"/>
      <c r="D385" s="2"/>
      <c r="E385" s="24"/>
      <c r="F385" s="24"/>
      <c r="G385" s="24"/>
      <c r="H385" s="7"/>
      <c r="I385" s="7"/>
      <c r="J385" s="14"/>
      <c r="K385" s="14"/>
      <c r="L385" s="110"/>
      <c r="M385" s="7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7"/>
      <c r="C386" s="7"/>
      <c r="D386" s="2"/>
      <c r="E386" s="24"/>
      <c r="F386" s="24"/>
      <c r="G386" s="24"/>
      <c r="H386" s="7"/>
      <c r="I386" s="7"/>
      <c r="J386" s="14"/>
      <c r="K386" s="14"/>
      <c r="L386" s="110"/>
      <c r="M386" s="7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7"/>
      <c r="C387" s="7"/>
      <c r="D387" s="2"/>
      <c r="E387" s="24"/>
      <c r="F387" s="24"/>
      <c r="G387" s="24"/>
      <c r="H387" s="7"/>
      <c r="I387" s="7"/>
      <c r="J387" s="14"/>
      <c r="K387" s="14"/>
      <c r="L387" s="110"/>
      <c r="M387" s="7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7"/>
      <c r="C388" s="7"/>
      <c r="D388" s="2"/>
      <c r="E388" s="24"/>
      <c r="F388" s="24"/>
      <c r="G388" s="24"/>
      <c r="H388" s="7"/>
      <c r="I388" s="7"/>
      <c r="J388" s="14"/>
      <c r="K388" s="14"/>
      <c r="L388" s="110"/>
      <c r="M388" s="7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7"/>
      <c r="C389" s="7"/>
      <c r="D389" s="2"/>
      <c r="E389" s="24"/>
      <c r="F389" s="24"/>
      <c r="G389" s="24"/>
      <c r="H389" s="7"/>
      <c r="I389" s="7"/>
      <c r="J389" s="14"/>
      <c r="K389" s="14"/>
      <c r="L389" s="110"/>
      <c r="M389" s="7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7"/>
      <c r="C390" s="7"/>
      <c r="D390" s="2"/>
      <c r="E390" s="24"/>
      <c r="F390" s="24"/>
      <c r="G390" s="24"/>
      <c r="H390" s="7"/>
      <c r="I390" s="7"/>
      <c r="J390" s="14"/>
      <c r="K390" s="14"/>
      <c r="L390" s="110"/>
      <c r="M390" s="7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7"/>
      <c r="C391" s="7"/>
      <c r="D391" s="2"/>
      <c r="E391" s="24"/>
      <c r="F391" s="24"/>
      <c r="G391" s="24"/>
      <c r="H391" s="7"/>
      <c r="I391" s="7"/>
      <c r="J391" s="14"/>
      <c r="K391" s="14"/>
      <c r="L391" s="110"/>
      <c r="M391" s="7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7"/>
      <c r="C392" s="7"/>
      <c r="D392" s="2"/>
      <c r="E392" s="24"/>
      <c r="F392" s="24"/>
      <c r="G392" s="24"/>
      <c r="H392" s="7"/>
      <c r="I392" s="7"/>
      <c r="J392" s="14"/>
      <c r="K392" s="14"/>
      <c r="L392" s="110"/>
      <c r="M392" s="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7"/>
      <c r="C393" s="7"/>
      <c r="D393" s="2"/>
      <c r="E393" s="24"/>
      <c r="F393" s="24"/>
      <c r="G393" s="24"/>
      <c r="H393" s="7"/>
      <c r="I393" s="7"/>
      <c r="J393" s="14"/>
      <c r="K393" s="14"/>
      <c r="L393" s="110"/>
      <c r="M393" s="7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7"/>
      <c r="C394" s="7"/>
      <c r="D394" s="2"/>
      <c r="E394" s="24"/>
      <c r="F394" s="24"/>
      <c r="G394" s="24"/>
      <c r="H394" s="7"/>
      <c r="I394" s="7"/>
      <c r="J394" s="14"/>
      <c r="K394" s="14"/>
      <c r="L394" s="110"/>
      <c r="M394" s="7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7"/>
      <c r="C395" s="7"/>
      <c r="D395" s="2"/>
      <c r="E395" s="24"/>
      <c r="F395" s="24"/>
      <c r="G395" s="24"/>
      <c r="H395" s="7"/>
      <c r="I395" s="7"/>
      <c r="J395" s="14"/>
      <c r="K395" s="14"/>
      <c r="L395" s="110"/>
      <c r="M395" s="7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7"/>
      <c r="C396" s="7"/>
      <c r="D396" s="2"/>
      <c r="E396" s="24"/>
      <c r="F396" s="24"/>
      <c r="G396" s="24"/>
      <c r="H396" s="7"/>
      <c r="I396" s="7"/>
      <c r="J396" s="14"/>
      <c r="K396" s="14"/>
      <c r="L396" s="110"/>
      <c r="M396" s="7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7"/>
      <c r="C397" s="7"/>
      <c r="D397" s="2"/>
      <c r="E397" s="24"/>
      <c r="F397" s="24"/>
      <c r="G397" s="24"/>
      <c r="H397" s="7"/>
      <c r="I397" s="7"/>
      <c r="J397" s="14"/>
      <c r="K397" s="14"/>
      <c r="L397" s="110"/>
      <c r="M397" s="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7"/>
      <c r="C398" s="7"/>
      <c r="D398" s="2"/>
      <c r="E398" s="24"/>
      <c r="F398" s="24"/>
      <c r="G398" s="24"/>
      <c r="H398" s="7"/>
      <c r="I398" s="7"/>
      <c r="J398" s="14"/>
      <c r="K398" s="14"/>
      <c r="L398" s="110"/>
      <c r="M398" s="7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7"/>
      <c r="C399" s="7"/>
      <c r="D399" s="2"/>
      <c r="E399" s="24"/>
      <c r="F399" s="24"/>
      <c r="G399" s="24"/>
      <c r="H399" s="7"/>
      <c r="I399" s="7"/>
      <c r="J399" s="14"/>
      <c r="K399" s="14"/>
      <c r="L399" s="110"/>
      <c r="M399" s="7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7"/>
      <c r="C400" s="7"/>
      <c r="D400" s="2"/>
      <c r="E400" s="24"/>
      <c r="F400" s="24"/>
      <c r="G400" s="24"/>
      <c r="H400" s="7"/>
      <c r="I400" s="7"/>
      <c r="J400" s="14"/>
      <c r="K400" s="14"/>
      <c r="L400" s="110"/>
      <c r="M400" s="7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7"/>
      <c r="C401" s="7"/>
      <c r="D401" s="2"/>
      <c r="E401" s="24"/>
      <c r="F401" s="24"/>
      <c r="G401" s="24"/>
      <c r="H401" s="7"/>
      <c r="I401" s="7"/>
      <c r="J401" s="14"/>
      <c r="K401" s="14"/>
      <c r="L401" s="110"/>
      <c r="M401" s="7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7"/>
      <c r="C402" s="7"/>
      <c r="D402" s="2"/>
      <c r="E402" s="24"/>
      <c r="F402" s="24"/>
      <c r="G402" s="24"/>
      <c r="H402" s="7"/>
      <c r="I402" s="7"/>
      <c r="J402" s="14"/>
      <c r="K402" s="14"/>
      <c r="L402" s="110"/>
      <c r="M402" s="7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7"/>
      <c r="C403" s="7"/>
      <c r="D403" s="2"/>
      <c r="E403" s="24"/>
      <c r="F403" s="24"/>
      <c r="G403" s="24"/>
      <c r="H403" s="7"/>
      <c r="I403" s="7"/>
      <c r="J403" s="14"/>
      <c r="K403" s="14"/>
      <c r="L403" s="110"/>
      <c r="M403" s="7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7"/>
      <c r="C404" s="7"/>
      <c r="D404" s="2"/>
      <c r="E404" s="24"/>
      <c r="F404" s="24"/>
      <c r="G404" s="24"/>
      <c r="H404" s="7"/>
      <c r="I404" s="7"/>
      <c r="J404" s="14"/>
      <c r="K404" s="14"/>
      <c r="L404" s="110"/>
      <c r="M404" s="7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7"/>
      <c r="C405" s="7"/>
      <c r="D405" s="2"/>
      <c r="E405" s="24"/>
      <c r="F405" s="24"/>
      <c r="G405" s="24"/>
      <c r="H405" s="7"/>
      <c r="I405" s="7"/>
      <c r="J405" s="14"/>
      <c r="K405" s="14"/>
      <c r="L405" s="110"/>
      <c r="M405" s="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7"/>
      <c r="C406" s="7"/>
      <c r="D406" s="2"/>
      <c r="E406" s="24"/>
      <c r="F406" s="24"/>
      <c r="G406" s="24"/>
      <c r="H406" s="7"/>
      <c r="I406" s="7"/>
      <c r="J406" s="14"/>
      <c r="K406" s="14"/>
      <c r="L406" s="110"/>
      <c r="M406" s="7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7"/>
      <c r="C407" s="7"/>
      <c r="D407" s="2"/>
      <c r="E407" s="24"/>
      <c r="F407" s="24"/>
      <c r="G407" s="24"/>
      <c r="H407" s="7"/>
      <c r="I407" s="7"/>
      <c r="J407" s="14"/>
      <c r="K407" s="14"/>
      <c r="L407" s="110"/>
      <c r="M407" s="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7"/>
      <c r="C408" s="7"/>
      <c r="D408" s="2"/>
      <c r="E408" s="24"/>
      <c r="F408" s="24"/>
      <c r="G408" s="24"/>
      <c r="H408" s="7"/>
      <c r="I408" s="7"/>
      <c r="J408" s="14"/>
      <c r="K408" s="14"/>
      <c r="L408" s="110"/>
      <c r="M408" s="7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7"/>
      <c r="C409" s="7"/>
      <c r="D409" s="2"/>
      <c r="E409" s="24"/>
      <c r="F409" s="24"/>
      <c r="G409" s="24"/>
      <c r="H409" s="7"/>
      <c r="I409" s="7"/>
      <c r="J409" s="14"/>
      <c r="K409" s="14"/>
      <c r="L409" s="110"/>
      <c r="M409" s="7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7"/>
      <c r="C410" s="7"/>
      <c r="D410" s="2"/>
      <c r="E410" s="24"/>
      <c r="F410" s="24"/>
      <c r="G410" s="24"/>
      <c r="H410" s="7"/>
      <c r="I410" s="7"/>
      <c r="J410" s="14"/>
      <c r="K410" s="14"/>
      <c r="L410" s="110"/>
      <c r="M410" s="7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7"/>
      <c r="C411" s="7"/>
      <c r="D411" s="2"/>
      <c r="E411" s="24"/>
      <c r="F411" s="24"/>
      <c r="G411" s="24"/>
      <c r="H411" s="7"/>
      <c r="I411" s="7"/>
      <c r="J411" s="14"/>
      <c r="K411" s="14"/>
      <c r="L411" s="110"/>
      <c r="M411" s="7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7"/>
      <c r="C412" s="7"/>
      <c r="D412" s="2"/>
      <c r="E412" s="24"/>
      <c r="F412" s="24"/>
      <c r="G412" s="24"/>
      <c r="H412" s="7"/>
      <c r="I412" s="7"/>
      <c r="J412" s="14"/>
      <c r="K412" s="14"/>
      <c r="L412" s="110"/>
      <c r="M412" s="7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7"/>
      <c r="C413" s="7"/>
      <c r="D413" s="2"/>
      <c r="E413" s="24"/>
      <c r="F413" s="24"/>
      <c r="G413" s="24"/>
      <c r="H413" s="7"/>
      <c r="I413" s="7"/>
      <c r="J413" s="14"/>
      <c r="K413" s="14"/>
      <c r="L413" s="110"/>
      <c r="M413" s="7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7"/>
      <c r="C414" s="7"/>
      <c r="D414" s="2"/>
      <c r="E414" s="24"/>
      <c r="F414" s="24"/>
      <c r="G414" s="24"/>
      <c r="H414" s="7"/>
      <c r="I414" s="7"/>
      <c r="J414" s="14"/>
      <c r="K414" s="14"/>
      <c r="L414" s="110"/>
      <c r="M414" s="7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7"/>
      <c r="C415" s="7"/>
      <c r="D415" s="2"/>
      <c r="E415" s="24"/>
      <c r="F415" s="24"/>
      <c r="G415" s="24"/>
      <c r="H415" s="7"/>
      <c r="I415" s="7"/>
      <c r="J415" s="14"/>
      <c r="K415" s="14"/>
      <c r="L415" s="110"/>
      <c r="M415" s="7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7"/>
      <c r="C416" s="7"/>
      <c r="D416" s="2"/>
      <c r="E416" s="24"/>
      <c r="F416" s="24"/>
      <c r="G416" s="24"/>
      <c r="H416" s="7"/>
      <c r="I416" s="7"/>
      <c r="J416" s="14"/>
      <c r="K416" s="14"/>
      <c r="L416" s="110"/>
      <c r="M416" s="7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7"/>
      <c r="C417" s="7"/>
      <c r="D417" s="2"/>
      <c r="E417" s="24"/>
      <c r="F417" s="24"/>
      <c r="G417" s="24"/>
      <c r="H417" s="7"/>
      <c r="I417" s="7"/>
      <c r="J417" s="14"/>
      <c r="K417" s="14"/>
      <c r="L417" s="110"/>
      <c r="M417" s="7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7"/>
      <c r="C418" s="7"/>
      <c r="D418" s="2"/>
      <c r="E418" s="24"/>
      <c r="F418" s="24"/>
      <c r="G418" s="24"/>
      <c r="H418" s="7"/>
      <c r="I418" s="7"/>
      <c r="J418" s="14"/>
      <c r="K418" s="14"/>
      <c r="L418" s="110"/>
      <c r="M418" s="7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7"/>
      <c r="C419" s="7"/>
      <c r="D419" s="2"/>
      <c r="E419" s="24"/>
      <c r="F419" s="24"/>
      <c r="G419" s="24"/>
      <c r="H419" s="7"/>
      <c r="I419" s="7"/>
      <c r="J419" s="14"/>
      <c r="K419" s="14"/>
      <c r="L419" s="110"/>
      <c r="M419" s="7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7"/>
      <c r="C420" s="7"/>
      <c r="D420" s="2"/>
      <c r="E420" s="24"/>
      <c r="F420" s="24"/>
      <c r="G420" s="24"/>
      <c r="H420" s="7"/>
      <c r="I420" s="7"/>
      <c r="J420" s="14"/>
      <c r="K420" s="14"/>
      <c r="L420" s="110"/>
      <c r="M420" s="7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7"/>
      <c r="C421" s="7"/>
      <c r="D421" s="2"/>
      <c r="E421" s="24"/>
      <c r="F421" s="24"/>
      <c r="G421" s="24"/>
      <c r="H421" s="7"/>
      <c r="I421" s="7"/>
      <c r="J421" s="14"/>
      <c r="K421" s="14"/>
      <c r="L421" s="110"/>
      <c r="M421" s="7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7"/>
      <c r="C422" s="7"/>
      <c r="D422" s="2"/>
      <c r="E422" s="24"/>
      <c r="F422" s="24"/>
      <c r="G422" s="24"/>
      <c r="H422" s="7"/>
      <c r="I422" s="7"/>
      <c r="J422" s="14"/>
      <c r="K422" s="14"/>
      <c r="L422" s="110"/>
      <c r="M422" s="7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7"/>
      <c r="C423" s="7"/>
      <c r="D423" s="2"/>
      <c r="E423" s="24"/>
      <c r="F423" s="24"/>
      <c r="G423" s="24"/>
      <c r="H423" s="7"/>
      <c r="I423" s="7"/>
      <c r="J423" s="14"/>
      <c r="K423" s="14"/>
      <c r="L423" s="110"/>
      <c r="M423" s="7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7"/>
      <c r="C424" s="7"/>
      <c r="D424" s="2"/>
      <c r="E424" s="24"/>
      <c r="F424" s="24"/>
      <c r="G424" s="24"/>
      <c r="H424" s="7"/>
      <c r="I424" s="7"/>
      <c r="J424" s="14"/>
      <c r="K424" s="14"/>
      <c r="L424" s="110"/>
      <c r="M424" s="7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7"/>
      <c r="C425" s="7"/>
      <c r="D425" s="2"/>
      <c r="E425" s="24"/>
      <c r="F425" s="24"/>
      <c r="G425" s="24"/>
      <c r="H425" s="7"/>
      <c r="I425" s="7"/>
      <c r="J425" s="14"/>
      <c r="K425" s="14"/>
      <c r="L425" s="110"/>
      <c r="M425" s="7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7"/>
      <c r="C426" s="7"/>
      <c r="D426" s="2"/>
      <c r="E426" s="24"/>
      <c r="F426" s="24"/>
      <c r="G426" s="24"/>
      <c r="H426" s="7"/>
      <c r="I426" s="7"/>
      <c r="J426" s="14"/>
      <c r="K426" s="14"/>
      <c r="L426" s="110"/>
      <c r="M426" s="7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7"/>
      <c r="C427" s="7"/>
      <c r="D427" s="2"/>
      <c r="E427" s="24"/>
      <c r="F427" s="24"/>
      <c r="G427" s="24"/>
      <c r="H427" s="7"/>
      <c r="I427" s="7"/>
      <c r="J427" s="14"/>
      <c r="K427" s="14"/>
      <c r="L427" s="110"/>
      <c r="M427" s="7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7"/>
      <c r="C428" s="7"/>
      <c r="D428" s="2"/>
      <c r="E428" s="24"/>
      <c r="F428" s="24"/>
      <c r="G428" s="24"/>
      <c r="H428" s="7"/>
      <c r="I428" s="7"/>
      <c r="J428" s="14"/>
      <c r="K428" s="14"/>
      <c r="L428" s="110"/>
      <c r="M428" s="7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7"/>
      <c r="C429" s="7"/>
      <c r="D429" s="2"/>
      <c r="E429" s="24"/>
      <c r="F429" s="24"/>
      <c r="G429" s="24"/>
      <c r="H429" s="7"/>
      <c r="I429" s="7"/>
      <c r="J429" s="14"/>
      <c r="K429" s="14"/>
      <c r="L429" s="110"/>
      <c r="M429" s="7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7"/>
      <c r="C430" s="7"/>
      <c r="D430" s="2"/>
      <c r="E430" s="24"/>
      <c r="F430" s="24"/>
      <c r="G430" s="24"/>
      <c r="H430" s="7"/>
      <c r="I430" s="7"/>
      <c r="J430" s="14"/>
      <c r="K430" s="14"/>
      <c r="L430" s="110"/>
      <c r="M430" s="7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7"/>
      <c r="C431" s="7"/>
      <c r="D431" s="2"/>
      <c r="E431" s="24"/>
      <c r="F431" s="24"/>
      <c r="G431" s="24"/>
      <c r="H431" s="7"/>
      <c r="I431" s="7"/>
      <c r="J431" s="14"/>
      <c r="K431" s="14"/>
      <c r="L431" s="110"/>
      <c r="M431" s="7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7"/>
      <c r="C432" s="7"/>
      <c r="D432" s="2"/>
      <c r="E432" s="24"/>
      <c r="F432" s="24"/>
      <c r="G432" s="24"/>
      <c r="H432" s="7"/>
      <c r="I432" s="7"/>
      <c r="J432" s="14"/>
      <c r="K432" s="14"/>
      <c r="L432" s="110"/>
      <c r="M432" s="7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7"/>
      <c r="C433" s="7"/>
      <c r="D433" s="2"/>
      <c r="E433" s="24"/>
      <c r="F433" s="24"/>
      <c r="G433" s="24"/>
      <c r="H433" s="7"/>
      <c r="I433" s="7"/>
      <c r="J433" s="14"/>
      <c r="K433" s="14"/>
      <c r="L433" s="110"/>
      <c r="M433" s="7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7"/>
      <c r="C434" s="7"/>
      <c r="D434" s="2"/>
      <c r="E434" s="24"/>
      <c r="F434" s="24"/>
      <c r="G434" s="24"/>
      <c r="H434" s="7"/>
      <c r="I434" s="7"/>
      <c r="J434" s="14"/>
      <c r="K434" s="14"/>
      <c r="L434" s="110"/>
      <c r="M434" s="7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7"/>
      <c r="C435" s="7"/>
      <c r="D435" s="2"/>
      <c r="E435" s="24"/>
      <c r="F435" s="24"/>
      <c r="G435" s="24"/>
      <c r="H435" s="7"/>
      <c r="I435" s="7"/>
      <c r="J435" s="14"/>
      <c r="K435" s="14"/>
      <c r="L435" s="110"/>
      <c r="M435" s="7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7"/>
      <c r="C436" s="7"/>
      <c r="D436" s="2"/>
      <c r="E436" s="24"/>
      <c r="F436" s="24"/>
      <c r="G436" s="24"/>
      <c r="H436" s="7"/>
      <c r="I436" s="7"/>
      <c r="J436" s="14"/>
      <c r="K436" s="14"/>
      <c r="L436" s="110"/>
      <c r="M436" s="7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7"/>
      <c r="C437" s="7"/>
      <c r="D437" s="2"/>
      <c r="E437" s="24"/>
      <c r="F437" s="24"/>
      <c r="G437" s="24"/>
      <c r="H437" s="7"/>
      <c r="I437" s="7"/>
      <c r="J437" s="14"/>
      <c r="K437" s="14"/>
      <c r="L437" s="110"/>
      <c r="M437" s="7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7"/>
      <c r="C438" s="7"/>
      <c r="D438" s="2"/>
      <c r="E438" s="24"/>
      <c r="F438" s="24"/>
      <c r="G438" s="24"/>
      <c r="H438" s="7"/>
      <c r="I438" s="7"/>
      <c r="J438" s="14"/>
      <c r="K438" s="14"/>
      <c r="L438" s="110"/>
      <c r="M438" s="7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7"/>
      <c r="C439" s="7"/>
      <c r="D439" s="2"/>
      <c r="E439" s="24"/>
      <c r="F439" s="24"/>
      <c r="G439" s="24"/>
      <c r="H439" s="7"/>
      <c r="I439" s="7"/>
      <c r="J439" s="14"/>
      <c r="K439" s="14"/>
      <c r="L439" s="110"/>
      <c r="M439" s="7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7"/>
      <c r="C440" s="7"/>
      <c r="D440" s="2"/>
      <c r="E440" s="24"/>
      <c r="F440" s="24"/>
      <c r="G440" s="24"/>
      <c r="H440" s="7"/>
      <c r="I440" s="7"/>
      <c r="J440" s="14"/>
      <c r="K440" s="14"/>
      <c r="L440" s="110"/>
      <c r="M440" s="7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7"/>
      <c r="C441" s="7"/>
      <c r="D441" s="2"/>
      <c r="E441" s="24"/>
      <c r="F441" s="24"/>
      <c r="G441" s="24"/>
      <c r="H441" s="7"/>
      <c r="I441" s="7"/>
      <c r="J441" s="14"/>
      <c r="K441" s="14"/>
      <c r="L441" s="110"/>
      <c r="M441" s="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7"/>
      <c r="C442" s="7"/>
      <c r="D442" s="2"/>
      <c r="E442" s="24"/>
      <c r="F442" s="24"/>
      <c r="G442" s="24"/>
      <c r="H442" s="7"/>
      <c r="I442" s="7"/>
      <c r="J442" s="14"/>
      <c r="K442" s="14"/>
      <c r="L442" s="110"/>
      <c r="M442" s="7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7"/>
      <c r="C443" s="7"/>
      <c r="D443" s="2"/>
      <c r="E443" s="24"/>
      <c r="F443" s="24"/>
      <c r="G443" s="24"/>
      <c r="H443" s="7"/>
      <c r="I443" s="7"/>
      <c r="J443" s="14"/>
      <c r="K443" s="14"/>
      <c r="L443" s="110"/>
      <c r="M443" s="7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7"/>
      <c r="C444" s="7"/>
      <c r="D444" s="2"/>
      <c r="E444" s="24"/>
      <c r="F444" s="24"/>
      <c r="G444" s="24"/>
      <c r="H444" s="7"/>
      <c r="I444" s="7"/>
      <c r="J444" s="14"/>
      <c r="K444" s="14"/>
      <c r="L444" s="110"/>
      <c r="M444" s="7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7"/>
      <c r="C445" s="7"/>
      <c r="D445" s="2"/>
      <c r="E445" s="24"/>
      <c r="F445" s="24"/>
      <c r="G445" s="24"/>
      <c r="H445" s="7"/>
      <c r="I445" s="7"/>
      <c r="J445" s="14"/>
      <c r="K445" s="14"/>
      <c r="L445" s="110"/>
      <c r="M445" s="7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7"/>
      <c r="C446" s="7"/>
      <c r="D446" s="2"/>
      <c r="E446" s="24"/>
      <c r="F446" s="24"/>
      <c r="G446" s="24"/>
      <c r="H446" s="7"/>
      <c r="I446" s="7"/>
      <c r="J446" s="14"/>
      <c r="K446" s="14"/>
      <c r="L446" s="110"/>
      <c r="M446" s="7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7"/>
      <c r="C447" s="7"/>
      <c r="D447" s="2"/>
      <c r="E447" s="24"/>
      <c r="F447" s="24"/>
      <c r="G447" s="24"/>
      <c r="H447" s="7"/>
      <c r="I447" s="7"/>
      <c r="J447" s="14"/>
      <c r="K447" s="14"/>
      <c r="L447" s="110"/>
      <c r="M447" s="7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7"/>
      <c r="C448" s="7"/>
      <c r="D448" s="2"/>
      <c r="E448" s="24"/>
      <c r="F448" s="24"/>
      <c r="G448" s="24"/>
      <c r="H448" s="7"/>
      <c r="I448" s="7"/>
      <c r="J448" s="14"/>
      <c r="K448" s="14"/>
      <c r="L448" s="110"/>
      <c r="M448" s="7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7"/>
      <c r="C449" s="7"/>
      <c r="D449" s="2"/>
      <c r="E449" s="24"/>
      <c r="F449" s="24"/>
      <c r="G449" s="24"/>
      <c r="H449" s="7"/>
      <c r="I449" s="7"/>
      <c r="J449" s="14"/>
      <c r="K449" s="14"/>
      <c r="L449" s="110"/>
      <c r="M449" s="7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7"/>
      <c r="C450" s="7"/>
      <c r="D450" s="2"/>
      <c r="E450" s="24"/>
      <c r="F450" s="24"/>
      <c r="G450" s="24"/>
      <c r="H450" s="7"/>
      <c r="I450" s="7"/>
      <c r="J450" s="14"/>
      <c r="K450" s="14"/>
      <c r="L450" s="110"/>
      <c r="M450" s="7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7"/>
      <c r="C451" s="7"/>
      <c r="D451" s="2"/>
      <c r="E451" s="24"/>
      <c r="F451" s="24"/>
      <c r="G451" s="24"/>
      <c r="H451" s="7"/>
      <c r="I451" s="7"/>
      <c r="J451" s="14"/>
      <c r="K451" s="14"/>
      <c r="L451" s="110"/>
      <c r="M451" s="7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7"/>
      <c r="C452" s="7"/>
      <c r="D452" s="2"/>
      <c r="E452" s="24"/>
      <c r="F452" s="24"/>
      <c r="G452" s="24"/>
      <c r="H452" s="7"/>
      <c r="I452" s="7"/>
      <c r="J452" s="14"/>
      <c r="K452" s="14"/>
      <c r="L452" s="110"/>
      <c r="M452" s="7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7"/>
      <c r="C453" s="7"/>
      <c r="D453" s="2"/>
      <c r="E453" s="24"/>
      <c r="F453" s="24"/>
      <c r="G453" s="24"/>
      <c r="H453" s="7"/>
      <c r="I453" s="7"/>
      <c r="J453" s="14"/>
      <c r="K453" s="14"/>
      <c r="L453" s="110"/>
      <c r="M453" s="7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7"/>
      <c r="C454" s="7"/>
      <c r="D454" s="2"/>
      <c r="E454" s="24"/>
      <c r="F454" s="24"/>
      <c r="G454" s="24"/>
      <c r="H454" s="7"/>
      <c r="I454" s="7"/>
      <c r="J454" s="14"/>
      <c r="K454" s="14"/>
      <c r="L454" s="110"/>
      <c r="M454" s="7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7"/>
      <c r="C455" s="7"/>
      <c r="D455" s="2"/>
      <c r="E455" s="24"/>
      <c r="F455" s="24"/>
      <c r="G455" s="24"/>
      <c r="H455" s="7"/>
      <c r="I455" s="7"/>
      <c r="J455" s="14"/>
      <c r="K455" s="14"/>
      <c r="L455" s="110"/>
      <c r="M455" s="7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7"/>
      <c r="C456" s="7"/>
      <c r="D456" s="2"/>
      <c r="E456" s="24"/>
      <c r="F456" s="24"/>
      <c r="G456" s="24"/>
      <c r="H456" s="7"/>
      <c r="I456" s="7"/>
      <c r="J456" s="14"/>
      <c r="K456" s="14"/>
      <c r="L456" s="110"/>
      <c r="M456" s="7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7"/>
      <c r="C457" s="7"/>
      <c r="D457" s="2"/>
      <c r="E457" s="24"/>
      <c r="F457" s="24"/>
      <c r="G457" s="24"/>
      <c r="H457" s="7"/>
      <c r="I457" s="7"/>
      <c r="J457" s="14"/>
      <c r="K457" s="14"/>
      <c r="L457" s="110"/>
      <c r="M457" s="7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7"/>
      <c r="C458" s="7"/>
      <c r="D458" s="2"/>
      <c r="E458" s="24"/>
      <c r="F458" s="24"/>
      <c r="G458" s="24"/>
      <c r="H458" s="7"/>
      <c r="I458" s="7"/>
      <c r="J458" s="14"/>
      <c r="K458" s="14"/>
      <c r="L458" s="110"/>
      <c r="M458" s="7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7"/>
      <c r="C459" s="7"/>
      <c r="D459" s="2"/>
      <c r="E459" s="24"/>
      <c r="F459" s="24"/>
      <c r="G459" s="24"/>
      <c r="H459" s="7"/>
      <c r="I459" s="7"/>
      <c r="J459" s="14"/>
      <c r="K459" s="14"/>
      <c r="L459" s="110"/>
      <c r="M459" s="7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7"/>
      <c r="C460" s="7"/>
      <c r="D460" s="2"/>
      <c r="E460" s="24"/>
      <c r="F460" s="24"/>
      <c r="G460" s="24"/>
      <c r="H460" s="7"/>
      <c r="I460" s="7"/>
      <c r="J460" s="14"/>
      <c r="K460" s="14"/>
      <c r="L460" s="110"/>
      <c r="M460" s="7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7"/>
      <c r="C461" s="7"/>
      <c r="D461" s="2"/>
      <c r="E461" s="24"/>
      <c r="F461" s="24"/>
      <c r="G461" s="24"/>
      <c r="H461" s="7"/>
      <c r="I461" s="7"/>
      <c r="J461" s="14"/>
      <c r="K461" s="14"/>
      <c r="L461" s="110"/>
      <c r="M461" s="7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7"/>
      <c r="C462" s="7"/>
      <c r="D462" s="2"/>
      <c r="E462" s="24"/>
      <c r="F462" s="24"/>
      <c r="G462" s="24"/>
      <c r="H462" s="7"/>
      <c r="I462" s="7"/>
      <c r="J462" s="14"/>
      <c r="K462" s="14"/>
      <c r="L462" s="110"/>
      <c r="M462" s="7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7"/>
      <c r="C463" s="7"/>
      <c r="D463" s="2"/>
      <c r="E463" s="24"/>
      <c r="F463" s="24"/>
      <c r="G463" s="24"/>
      <c r="H463" s="7"/>
      <c r="I463" s="7"/>
      <c r="J463" s="14"/>
      <c r="K463" s="14"/>
      <c r="L463" s="110"/>
      <c r="M463" s="7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7"/>
      <c r="C464" s="7"/>
      <c r="D464" s="2"/>
      <c r="E464" s="24"/>
      <c r="F464" s="24"/>
      <c r="G464" s="24"/>
      <c r="H464" s="7"/>
      <c r="I464" s="7"/>
      <c r="J464" s="14"/>
      <c r="K464" s="14"/>
      <c r="L464" s="110"/>
      <c r="M464" s="7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7"/>
      <c r="C465" s="7"/>
      <c r="D465" s="2"/>
      <c r="E465" s="24"/>
      <c r="F465" s="24"/>
      <c r="G465" s="24"/>
      <c r="H465" s="7"/>
      <c r="I465" s="7"/>
      <c r="J465" s="14"/>
      <c r="K465" s="14"/>
      <c r="L465" s="110"/>
      <c r="M465" s="7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7"/>
      <c r="C466" s="7"/>
      <c r="D466" s="2"/>
      <c r="E466" s="24"/>
      <c r="F466" s="24"/>
      <c r="G466" s="24"/>
      <c r="H466" s="7"/>
      <c r="I466" s="7"/>
      <c r="J466" s="14"/>
      <c r="K466" s="14"/>
      <c r="L466" s="110"/>
      <c r="M466" s="7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7"/>
      <c r="C467" s="7"/>
      <c r="D467" s="2"/>
      <c r="E467" s="24"/>
      <c r="F467" s="24"/>
      <c r="G467" s="24"/>
      <c r="H467" s="7"/>
      <c r="I467" s="7"/>
      <c r="J467" s="14"/>
      <c r="K467" s="14"/>
      <c r="L467" s="110"/>
      <c r="M467" s="7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7"/>
      <c r="C468" s="7"/>
      <c r="D468" s="2"/>
      <c r="E468" s="24"/>
      <c r="F468" s="24"/>
      <c r="G468" s="24"/>
      <c r="H468" s="7"/>
      <c r="I468" s="7"/>
      <c r="J468" s="14"/>
      <c r="K468" s="14"/>
      <c r="L468" s="110"/>
      <c r="M468" s="7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7"/>
      <c r="C469" s="7"/>
      <c r="D469" s="2"/>
      <c r="E469" s="24"/>
      <c r="F469" s="24"/>
      <c r="G469" s="24"/>
      <c r="H469" s="7"/>
      <c r="I469" s="7"/>
      <c r="J469" s="14"/>
      <c r="K469" s="14"/>
      <c r="L469" s="110"/>
      <c r="M469" s="7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7"/>
      <c r="C470" s="7"/>
      <c r="D470" s="2"/>
      <c r="E470" s="24"/>
      <c r="F470" s="24"/>
      <c r="G470" s="24"/>
      <c r="H470" s="7"/>
      <c r="I470" s="7"/>
      <c r="J470" s="14"/>
      <c r="K470" s="14"/>
      <c r="L470" s="110"/>
      <c r="M470" s="7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7"/>
      <c r="C471" s="7"/>
      <c r="D471" s="2"/>
      <c r="E471" s="24"/>
      <c r="F471" s="24"/>
      <c r="G471" s="24"/>
      <c r="H471" s="7"/>
      <c r="I471" s="7"/>
      <c r="J471" s="14"/>
      <c r="K471" s="14"/>
      <c r="L471" s="110"/>
      <c r="M471" s="7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7"/>
      <c r="C472" s="7"/>
      <c r="D472" s="2"/>
      <c r="E472" s="24"/>
      <c r="F472" s="24"/>
      <c r="G472" s="24"/>
      <c r="H472" s="7"/>
      <c r="I472" s="7"/>
      <c r="J472" s="14"/>
      <c r="K472" s="14"/>
      <c r="L472" s="110"/>
      <c r="M472" s="7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7"/>
      <c r="C473" s="7"/>
      <c r="D473" s="2"/>
      <c r="E473" s="24"/>
      <c r="F473" s="24"/>
      <c r="G473" s="24"/>
      <c r="H473" s="7"/>
      <c r="I473" s="7"/>
      <c r="J473" s="14"/>
      <c r="K473" s="14"/>
      <c r="L473" s="110"/>
      <c r="M473" s="7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7"/>
      <c r="C474" s="7"/>
      <c r="D474" s="2"/>
      <c r="E474" s="24"/>
      <c r="F474" s="24"/>
      <c r="G474" s="24"/>
      <c r="H474" s="7"/>
      <c r="I474" s="7"/>
      <c r="J474" s="14"/>
      <c r="K474" s="14"/>
      <c r="L474" s="110"/>
      <c r="M474" s="7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7"/>
      <c r="C475" s="7"/>
      <c r="D475" s="2"/>
      <c r="E475" s="24"/>
      <c r="F475" s="24"/>
      <c r="G475" s="24"/>
      <c r="H475" s="7"/>
      <c r="I475" s="7"/>
      <c r="J475" s="14"/>
      <c r="K475" s="14"/>
      <c r="L475" s="110"/>
      <c r="M475" s="7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7"/>
      <c r="C476" s="7"/>
      <c r="D476" s="2"/>
      <c r="E476" s="24"/>
      <c r="F476" s="24"/>
      <c r="G476" s="24"/>
      <c r="H476" s="7"/>
      <c r="I476" s="7"/>
      <c r="J476" s="14"/>
      <c r="K476" s="14"/>
      <c r="L476" s="110"/>
      <c r="M476" s="7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7"/>
      <c r="C477" s="7"/>
      <c r="D477" s="2"/>
      <c r="E477" s="24"/>
      <c r="F477" s="24"/>
      <c r="G477" s="24"/>
      <c r="H477" s="7"/>
      <c r="I477" s="7"/>
      <c r="J477" s="14"/>
      <c r="K477" s="14"/>
      <c r="L477" s="110"/>
      <c r="M477" s="7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7"/>
      <c r="C478" s="7"/>
      <c r="D478" s="2"/>
      <c r="E478" s="24"/>
      <c r="F478" s="24"/>
      <c r="G478" s="24"/>
      <c r="H478" s="7"/>
      <c r="I478" s="7"/>
      <c r="J478" s="14"/>
      <c r="K478" s="14"/>
      <c r="L478" s="110"/>
      <c r="M478" s="7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7"/>
      <c r="C479" s="7"/>
      <c r="D479" s="2"/>
      <c r="E479" s="24"/>
      <c r="F479" s="24"/>
      <c r="G479" s="24"/>
      <c r="H479" s="7"/>
      <c r="I479" s="7"/>
      <c r="J479" s="14"/>
      <c r="K479" s="14"/>
      <c r="L479" s="110"/>
      <c r="M479" s="7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7"/>
      <c r="C480" s="7"/>
      <c r="D480" s="2"/>
      <c r="E480" s="24"/>
      <c r="F480" s="24"/>
      <c r="G480" s="24"/>
      <c r="H480" s="7"/>
      <c r="I480" s="7"/>
      <c r="J480" s="14"/>
      <c r="K480" s="14"/>
      <c r="L480" s="110"/>
      <c r="M480" s="7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7"/>
      <c r="C481" s="7"/>
      <c r="D481" s="2"/>
      <c r="E481" s="24"/>
      <c r="F481" s="24"/>
      <c r="G481" s="24"/>
      <c r="H481" s="7"/>
      <c r="I481" s="7"/>
      <c r="J481" s="14"/>
      <c r="K481" s="14"/>
      <c r="L481" s="110"/>
      <c r="M481" s="7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7"/>
      <c r="C482" s="7"/>
      <c r="D482" s="2"/>
      <c r="E482" s="24"/>
      <c r="F482" s="24"/>
      <c r="G482" s="24"/>
      <c r="H482" s="7"/>
      <c r="I482" s="7"/>
      <c r="J482" s="14"/>
      <c r="K482" s="14"/>
      <c r="L482" s="110"/>
      <c r="M482" s="7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7"/>
      <c r="C483" s="7"/>
      <c r="D483" s="2"/>
      <c r="E483" s="24"/>
      <c r="F483" s="24"/>
      <c r="G483" s="24"/>
      <c r="H483" s="7"/>
      <c r="I483" s="7"/>
      <c r="J483" s="14"/>
      <c r="K483" s="14"/>
      <c r="L483" s="110"/>
      <c r="M483" s="7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7"/>
      <c r="C484" s="7"/>
      <c r="D484" s="2"/>
      <c r="E484" s="24"/>
      <c r="F484" s="24"/>
      <c r="G484" s="24"/>
      <c r="H484" s="7"/>
      <c r="I484" s="7"/>
      <c r="J484" s="14"/>
      <c r="K484" s="14"/>
      <c r="L484" s="110"/>
      <c r="M484" s="7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7"/>
      <c r="C485" s="7"/>
      <c r="D485" s="2"/>
      <c r="E485" s="24"/>
      <c r="F485" s="24"/>
      <c r="G485" s="24"/>
      <c r="H485" s="7"/>
      <c r="I485" s="7"/>
      <c r="J485" s="14"/>
      <c r="K485" s="14"/>
      <c r="L485" s="110"/>
      <c r="M485" s="7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7"/>
      <c r="C486" s="7"/>
      <c r="D486" s="2"/>
      <c r="E486" s="24"/>
      <c r="F486" s="24"/>
      <c r="G486" s="24"/>
      <c r="H486" s="7"/>
      <c r="I486" s="7"/>
      <c r="J486" s="14"/>
      <c r="K486" s="14"/>
      <c r="L486" s="110"/>
      <c r="M486" s="7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7"/>
      <c r="C487" s="7"/>
      <c r="D487" s="2"/>
      <c r="E487" s="24"/>
      <c r="F487" s="24"/>
      <c r="G487" s="24"/>
      <c r="H487" s="7"/>
      <c r="I487" s="7"/>
      <c r="J487" s="14"/>
      <c r="K487" s="14"/>
      <c r="L487" s="110"/>
      <c r="M487" s="7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7"/>
      <c r="C488" s="7"/>
      <c r="D488" s="2"/>
      <c r="E488" s="24"/>
      <c r="F488" s="24"/>
      <c r="G488" s="24"/>
      <c r="H488" s="7"/>
      <c r="I488" s="7"/>
      <c r="J488" s="14"/>
      <c r="K488" s="14"/>
      <c r="L488" s="110"/>
      <c r="M488" s="7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7"/>
      <c r="C489" s="7"/>
      <c r="D489" s="2"/>
      <c r="E489" s="24"/>
      <c r="F489" s="24"/>
      <c r="G489" s="24"/>
      <c r="H489" s="7"/>
      <c r="I489" s="7"/>
      <c r="J489" s="14"/>
      <c r="K489" s="14"/>
      <c r="L489" s="110"/>
      <c r="M489" s="7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7"/>
      <c r="C490" s="7"/>
      <c r="D490" s="2"/>
      <c r="E490" s="24"/>
      <c r="F490" s="24"/>
      <c r="G490" s="24"/>
      <c r="H490" s="7"/>
      <c r="I490" s="7"/>
      <c r="J490" s="14"/>
      <c r="K490" s="14"/>
      <c r="L490" s="110"/>
      <c r="M490" s="7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7"/>
      <c r="C491" s="7"/>
      <c r="D491" s="2"/>
      <c r="E491" s="24"/>
      <c r="F491" s="24"/>
      <c r="G491" s="24"/>
      <c r="H491" s="7"/>
      <c r="I491" s="7"/>
      <c r="J491" s="14"/>
      <c r="K491" s="14"/>
      <c r="L491" s="110"/>
      <c r="M491" s="7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7"/>
      <c r="C492" s="7"/>
      <c r="D492" s="2"/>
      <c r="E492" s="24"/>
      <c r="F492" s="24"/>
      <c r="G492" s="24"/>
      <c r="H492" s="7"/>
      <c r="I492" s="7"/>
      <c r="J492" s="14"/>
      <c r="K492" s="14"/>
      <c r="L492" s="110"/>
      <c r="M492" s="7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7"/>
      <c r="C493" s="7"/>
      <c r="D493" s="2"/>
      <c r="E493" s="24"/>
      <c r="F493" s="24"/>
      <c r="G493" s="24"/>
      <c r="H493" s="7"/>
      <c r="I493" s="7"/>
      <c r="J493" s="14"/>
      <c r="K493" s="14"/>
      <c r="L493" s="110"/>
      <c r="M493" s="7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7"/>
      <c r="C494" s="7"/>
      <c r="D494" s="2"/>
      <c r="E494" s="24"/>
      <c r="F494" s="24"/>
      <c r="G494" s="24"/>
      <c r="H494" s="7"/>
      <c r="I494" s="7"/>
      <c r="J494" s="14"/>
      <c r="K494" s="14"/>
      <c r="L494" s="110"/>
      <c r="M494" s="7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7"/>
      <c r="C495" s="7"/>
      <c r="D495" s="2"/>
      <c r="E495" s="24"/>
      <c r="F495" s="24"/>
      <c r="G495" s="24"/>
      <c r="H495" s="7"/>
      <c r="I495" s="7"/>
      <c r="J495" s="14"/>
      <c r="K495" s="14"/>
      <c r="L495" s="110"/>
      <c r="M495" s="7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7"/>
      <c r="C496" s="7"/>
      <c r="D496" s="2"/>
      <c r="E496" s="24"/>
      <c r="F496" s="24"/>
      <c r="G496" s="24"/>
      <c r="H496" s="7"/>
      <c r="I496" s="7"/>
      <c r="J496" s="14"/>
      <c r="K496" s="14"/>
      <c r="L496" s="110"/>
      <c r="M496" s="7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7"/>
      <c r="C497" s="7"/>
      <c r="D497" s="2"/>
      <c r="E497" s="24"/>
      <c r="F497" s="24"/>
      <c r="G497" s="24"/>
      <c r="H497" s="7"/>
      <c r="I497" s="7"/>
      <c r="J497" s="14"/>
      <c r="K497" s="14"/>
      <c r="L497" s="110"/>
      <c r="M497" s="7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7"/>
      <c r="C498" s="7"/>
      <c r="D498" s="2"/>
      <c r="E498" s="24"/>
      <c r="F498" s="24"/>
      <c r="G498" s="24"/>
      <c r="H498" s="7"/>
      <c r="I498" s="7"/>
      <c r="J498" s="14"/>
      <c r="K498" s="14"/>
      <c r="L498" s="110"/>
      <c r="M498" s="7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7"/>
      <c r="C499" s="7"/>
      <c r="D499" s="2"/>
      <c r="E499" s="24"/>
      <c r="F499" s="24"/>
      <c r="G499" s="24"/>
      <c r="H499" s="7"/>
      <c r="I499" s="7"/>
      <c r="J499" s="14"/>
      <c r="K499" s="14"/>
      <c r="L499" s="110"/>
      <c r="M499" s="7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7"/>
      <c r="C500" s="7"/>
      <c r="D500" s="2"/>
      <c r="E500" s="24"/>
      <c r="F500" s="24"/>
      <c r="G500" s="24"/>
      <c r="H500" s="7"/>
      <c r="I500" s="7"/>
      <c r="J500" s="14"/>
      <c r="K500" s="14"/>
      <c r="L500" s="110"/>
      <c r="M500" s="7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7"/>
      <c r="C501" s="7"/>
      <c r="D501" s="2"/>
      <c r="E501" s="24"/>
      <c r="F501" s="24"/>
      <c r="G501" s="24"/>
      <c r="H501" s="7"/>
      <c r="I501" s="7"/>
      <c r="J501" s="14"/>
      <c r="K501" s="14"/>
      <c r="L501" s="110"/>
      <c r="M501" s="7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7"/>
      <c r="C502" s="7"/>
      <c r="D502" s="2"/>
      <c r="E502" s="24"/>
      <c r="F502" s="24"/>
      <c r="G502" s="24"/>
      <c r="H502" s="7"/>
      <c r="I502" s="7"/>
      <c r="J502" s="14"/>
      <c r="K502" s="14"/>
      <c r="L502" s="110"/>
      <c r="M502" s="7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7"/>
      <c r="C503" s="7"/>
      <c r="D503" s="2"/>
      <c r="E503" s="24"/>
      <c r="F503" s="24"/>
      <c r="G503" s="24"/>
      <c r="H503" s="7"/>
      <c r="I503" s="7"/>
      <c r="J503" s="14"/>
      <c r="K503" s="14"/>
      <c r="L503" s="110"/>
      <c r="M503" s="7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7"/>
      <c r="C504" s="7"/>
      <c r="D504" s="2"/>
      <c r="E504" s="24"/>
      <c r="F504" s="24"/>
      <c r="G504" s="24"/>
      <c r="H504" s="7"/>
      <c r="I504" s="7"/>
      <c r="J504" s="14"/>
      <c r="K504" s="14"/>
      <c r="L504" s="110"/>
      <c r="M504" s="7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7"/>
      <c r="C505" s="7"/>
      <c r="D505" s="2"/>
      <c r="E505" s="24"/>
      <c r="F505" s="24"/>
      <c r="G505" s="24"/>
      <c r="H505" s="7"/>
      <c r="I505" s="7"/>
      <c r="J505" s="14"/>
      <c r="K505" s="14"/>
      <c r="L505" s="110"/>
      <c r="M505" s="7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7"/>
      <c r="C506" s="7"/>
      <c r="D506" s="2"/>
      <c r="E506" s="24"/>
      <c r="F506" s="24"/>
      <c r="G506" s="24"/>
      <c r="H506" s="7"/>
      <c r="I506" s="7"/>
      <c r="J506" s="14"/>
      <c r="K506" s="14"/>
      <c r="L506" s="110"/>
      <c r="M506" s="7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7"/>
      <c r="C507" s="7"/>
      <c r="D507" s="2"/>
      <c r="E507" s="24"/>
      <c r="F507" s="24"/>
      <c r="G507" s="24"/>
      <c r="H507" s="7"/>
      <c r="I507" s="7"/>
      <c r="J507" s="14"/>
      <c r="K507" s="14"/>
      <c r="L507" s="110"/>
      <c r="M507" s="7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7"/>
      <c r="C508" s="7"/>
      <c r="D508" s="2"/>
      <c r="E508" s="24"/>
      <c r="F508" s="24"/>
      <c r="G508" s="24"/>
      <c r="H508" s="7"/>
      <c r="I508" s="7"/>
      <c r="J508" s="14"/>
      <c r="K508" s="14"/>
      <c r="L508" s="110"/>
      <c r="M508" s="7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7"/>
      <c r="C509" s="7"/>
      <c r="D509" s="2"/>
      <c r="E509" s="24"/>
      <c r="F509" s="24"/>
      <c r="G509" s="24"/>
      <c r="H509" s="7"/>
      <c r="I509" s="7"/>
      <c r="J509" s="14"/>
      <c r="K509" s="14"/>
      <c r="L509" s="110"/>
      <c r="M509" s="7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7"/>
      <c r="C510" s="7"/>
      <c r="D510" s="2"/>
      <c r="E510" s="24"/>
      <c r="F510" s="24"/>
      <c r="G510" s="24"/>
      <c r="H510" s="7"/>
      <c r="I510" s="7"/>
      <c r="J510" s="14"/>
      <c r="K510" s="14"/>
      <c r="L510" s="110"/>
      <c r="M510" s="7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7"/>
      <c r="C511" s="7"/>
      <c r="D511" s="2"/>
      <c r="E511" s="24"/>
      <c r="F511" s="24"/>
      <c r="G511" s="24"/>
      <c r="H511" s="7"/>
      <c r="I511" s="7"/>
      <c r="J511" s="14"/>
      <c r="K511" s="14"/>
      <c r="L511" s="110"/>
      <c r="M511" s="7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7"/>
      <c r="C512" s="7"/>
      <c r="D512" s="2"/>
      <c r="E512" s="24"/>
      <c r="F512" s="24"/>
      <c r="G512" s="24"/>
      <c r="H512" s="7"/>
      <c r="I512" s="7"/>
      <c r="J512" s="14"/>
      <c r="K512" s="14"/>
      <c r="L512" s="110"/>
      <c r="M512" s="7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7"/>
      <c r="C513" s="7"/>
      <c r="D513" s="2"/>
      <c r="E513" s="24"/>
      <c r="F513" s="24"/>
      <c r="G513" s="24"/>
      <c r="H513" s="7"/>
      <c r="I513" s="7"/>
      <c r="J513" s="14"/>
      <c r="K513" s="14"/>
      <c r="L513" s="110"/>
      <c r="M513" s="7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7"/>
      <c r="C514" s="7"/>
      <c r="D514" s="2"/>
      <c r="E514" s="24"/>
      <c r="F514" s="24"/>
      <c r="G514" s="24"/>
      <c r="H514" s="7"/>
      <c r="I514" s="7"/>
      <c r="J514" s="14"/>
      <c r="K514" s="14"/>
      <c r="L514" s="110"/>
      <c r="M514" s="7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7"/>
      <c r="C515" s="7"/>
      <c r="D515" s="2"/>
      <c r="E515" s="24"/>
      <c r="F515" s="24"/>
      <c r="G515" s="24"/>
      <c r="H515" s="7"/>
      <c r="I515" s="7"/>
      <c r="J515" s="14"/>
      <c r="K515" s="14"/>
      <c r="L515" s="110"/>
      <c r="M515" s="7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7"/>
      <c r="C516" s="7"/>
      <c r="D516" s="2"/>
      <c r="E516" s="24"/>
      <c r="F516" s="24"/>
      <c r="G516" s="24"/>
      <c r="H516" s="7"/>
      <c r="I516" s="7"/>
      <c r="J516" s="14"/>
      <c r="K516" s="14"/>
      <c r="L516" s="110"/>
      <c r="M516" s="7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7"/>
      <c r="C517" s="7"/>
      <c r="D517" s="2"/>
      <c r="E517" s="24"/>
      <c r="F517" s="24"/>
      <c r="G517" s="24"/>
      <c r="H517" s="7"/>
      <c r="I517" s="7"/>
      <c r="J517" s="14"/>
      <c r="K517" s="14"/>
      <c r="L517" s="110"/>
      <c r="M517" s="7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7"/>
      <c r="C518" s="7"/>
      <c r="D518" s="2"/>
      <c r="E518" s="24"/>
      <c r="F518" s="24"/>
      <c r="G518" s="24"/>
      <c r="H518" s="7"/>
      <c r="I518" s="7"/>
      <c r="J518" s="14"/>
      <c r="K518" s="14"/>
      <c r="L518" s="110"/>
      <c r="M518" s="7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7"/>
      <c r="C519" s="7"/>
      <c r="D519" s="2"/>
      <c r="E519" s="24"/>
      <c r="F519" s="24"/>
      <c r="G519" s="24"/>
      <c r="H519" s="7"/>
      <c r="I519" s="7"/>
      <c r="J519" s="14"/>
      <c r="K519" s="14"/>
      <c r="L519" s="110"/>
      <c r="M519" s="7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7"/>
      <c r="C520" s="7"/>
      <c r="D520" s="2"/>
      <c r="E520" s="24"/>
      <c r="F520" s="24"/>
      <c r="G520" s="24"/>
      <c r="H520" s="7"/>
      <c r="I520" s="7"/>
      <c r="J520" s="14"/>
      <c r="K520" s="14"/>
      <c r="L520" s="110"/>
      <c r="M520" s="7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7"/>
      <c r="C521" s="7"/>
      <c r="D521" s="2"/>
      <c r="E521" s="24"/>
      <c r="F521" s="24"/>
      <c r="G521" s="24"/>
      <c r="H521" s="7"/>
      <c r="I521" s="7"/>
      <c r="J521" s="14"/>
      <c r="K521" s="14"/>
      <c r="L521" s="110"/>
      <c r="M521" s="7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7"/>
      <c r="C522" s="7"/>
      <c r="D522" s="2"/>
      <c r="E522" s="24"/>
      <c r="F522" s="24"/>
      <c r="G522" s="24"/>
      <c r="H522" s="7"/>
      <c r="I522" s="7"/>
      <c r="J522" s="14"/>
      <c r="K522" s="14"/>
      <c r="L522" s="110"/>
      <c r="M522" s="7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7"/>
      <c r="C523" s="7"/>
      <c r="D523" s="2"/>
      <c r="E523" s="24"/>
      <c r="F523" s="24"/>
      <c r="G523" s="24"/>
      <c r="H523" s="7"/>
      <c r="I523" s="7"/>
      <c r="J523" s="14"/>
      <c r="K523" s="14"/>
      <c r="L523" s="110"/>
      <c r="M523" s="7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7"/>
      <c r="C524" s="7"/>
      <c r="D524" s="2"/>
      <c r="E524" s="24"/>
      <c r="F524" s="24"/>
      <c r="G524" s="24"/>
      <c r="H524" s="7"/>
      <c r="I524" s="7"/>
      <c r="J524" s="14"/>
      <c r="K524" s="14"/>
      <c r="L524" s="110"/>
      <c r="M524" s="7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7"/>
      <c r="C525" s="7"/>
      <c r="D525" s="2"/>
      <c r="E525" s="24"/>
      <c r="F525" s="24"/>
      <c r="G525" s="24"/>
      <c r="H525" s="7"/>
      <c r="I525" s="7"/>
      <c r="J525" s="14"/>
      <c r="K525" s="14"/>
      <c r="L525" s="110"/>
      <c r="M525" s="7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7"/>
      <c r="C526" s="7"/>
      <c r="D526" s="2"/>
      <c r="E526" s="24"/>
      <c r="F526" s="24"/>
      <c r="G526" s="24"/>
      <c r="H526" s="7"/>
      <c r="I526" s="7"/>
      <c r="J526" s="14"/>
      <c r="K526" s="14"/>
      <c r="L526" s="110"/>
      <c r="M526" s="7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7"/>
      <c r="C527" s="7"/>
      <c r="D527" s="2"/>
      <c r="E527" s="24"/>
      <c r="F527" s="24"/>
      <c r="G527" s="24"/>
      <c r="H527" s="7"/>
      <c r="I527" s="7"/>
      <c r="J527" s="14"/>
      <c r="K527" s="14"/>
      <c r="L527" s="110"/>
      <c r="M527" s="7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7"/>
      <c r="C528" s="7"/>
      <c r="D528" s="2"/>
      <c r="E528" s="24"/>
      <c r="F528" s="24"/>
      <c r="G528" s="24"/>
      <c r="H528" s="7"/>
      <c r="I528" s="7"/>
      <c r="J528" s="14"/>
      <c r="K528" s="14"/>
      <c r="L528" s="110"/>
      <c r="M528" s="7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7"/>
      <c r="C529" s="7"/>
      <c r="D529" s="2"/>
      <c r="E529" s="24"/>
      <c r="F529" s="24"/>
      <c r="G529" s="24"/>
      <c r="H529" s="7"/>
      <c r="I529" s="7"/>
      <c r="J529" s="14"/>
      <c r="K529" s="14"/>
      <c r="L529" s="110"/>
      <c r="M529" s="7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7"/>
      <c r="C530" s="7"/>
      <c r="D530" s="2"/>
      <c r="E530" s="24"/>
      <c r="F530" s="24"/>
      <c r="G530" s="24"/>
      <c r="H530" s="7"/>
      <c r="I530" s="7"/>
      <c r="J530" s="14"/>
      <c r="K530" s="14"/>
      <c r="L530" s="110"/>
      <c r="M530" s="7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7"/>
      <c r="C531" s="7"/>
      <c r="D531" s="2"/>
      <c r="E531" s="24"/>
      <c r="F531" s="24"/>
      <c r="G531" s="24"/>
      <c r="H531" s="7"/>
      <c r="I531" s="7"/>
      <c r="J531" s="14"/>
      <c r="K531" s="14"/>
      <c r="L531" s="110"/>
      <c r="M531" s="7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7"/>
      <c r="C532" s="7"/>
      <c r="D532" s="2"/>
      <c r="E532" s="24"/>
      <c r="F532" s="24"/>
      <c r="G532" s="24"/>
      <c r="H532" s="7"/>
      <c r="I532" s="7"/>
      <c r="J532" s="14"/>
      <c r="K532" s="14"/>
      <c r="L532" s="110"/>
      <c r="M532" s="7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7"/>
      <c r="C533" s="7"/>
      <c r="D533" s="2"/>
      <c r="E533" s="24"/>
      <c r="F533" s="24"/>
      <c r="G533" s="24"/>
      <c r="H533" s="7"/>
      <c r="I533" s="7"/>
      <c r="J533" s="14"/>
      <c r="K533" s="14"/>
      <c r="L533" s="110"/>
      <c r="M533" s="7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7"/>
      <c r="C534" s="7"/>
      <c r="D534" s="2"/>
      <c r="E534" s="24"/>
      <c r="F534" s="24"/>
      <c r="G534" s="24"/>
      <c r="H534" s="7"/>
      <c r="I534" s="7"/>
      <c r="J534" s="14"/>
      <c r="K534" s="14"/>
      <c r="L534" s="110"/>
      <c r="M534" s="7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7"/>
      <c r="C535" s="7"/>
      <c r="D535" s="2"/>
      <c r="E535" s="24"/>
      <c r="F535" s="24"/>
      <c r="G535" s="24"/>
      <c r="H535" s="7"/>
      <c r="I535" s="7"/>
      <c r="J535" s="14"/>
      <c r="K535" s="14"/>
      <c r="L535" s="110"/>
      <c r="M535" s="7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7"/>
      <c r="C536" s="7"/>
      <c r="D536" s="2"/>
      <c r="E536" s="24"/>
      <c r="F536" s="24"/>
      <c r="G536" s="24"/>
      <c r="H536" s="7"/>
      <c r="I536" s="7"/>
      <c r="J536" s="14"/>
      <c r="K536" s="14"/>
      <c r="L536" s="110"/>
      <c r="M536" s="7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7"/>
      <c r="C537" s="7"/>
      <c r="D537" s="2"/>
      <c r="E537" s="24"/>
      <c r="F537" s="24"/>
      <c r="G537" s="24"/>
      <c r="H537" s="7"/>
      <c r="I537" s="7"/>
      <c r="J537" s="14"/>
      <c r="K537" s="14"/>
      <c r="L537" s="110"/>
      <c r="M537" s="7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7"/>
      <c r="C538" s="7"/>
      <c r="D538" s="2"/>
      <c r="E538" s="24"/>
      <c r="F538" s="24"/>
      <c r="G538" s="24"/>
      <c r="H538" s="7"/>
      <c r="I538" s="7"/>
      <c r="J538" s="14"/>
      <c r="K538" s="14"/>
      <c r="L538" s="110"/>
      <c r="M538" s="7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7"/>
      <c r="C539" s="7"/>
      <c r="D539" s="2"/>
      <c r="E539" s="24"/>
      <c r="F539" s="24"/>
      <c r="G539" s="24"/>
      <c r="H539" s="7"/>
      <c r="I539" s="7"/>
      <c r="J539" s="14"/>
      <c r="K539" s="14"/>
      <c r="L539" s="110"/>
      <c r="M539" s="7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7"/>
      <c r="C540" s="7"/>
      <c r="D540" s="2"/>
      <c r="E540" s="24"/>
      <c r="F540" s="24"/>
      <c r="G540" s="24"/>
      <c r="H540" s="7"/>
      <c r="I540" s="7"/>
      <c r="J540" s="14"/>
      <c r="K540" s="14"/>
      <c r="L540" s="110"/>
      <c r="M540" s="7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7"/>
      <c r="C541" s="7"/>
      <c r="D541" s="2"/>
      <c r="E541" s="24"/>
      <c r="F541" s="24"/>
      <c r="G541" s="24"/>
      <c r="H541" s="7"/>
      <c r="I541" s="7"/>
      <c r="J541" s="14"/>
      <c r="K541" s="14"/>
      <c r="L541" s="110"/>
      <c r="M541" s="7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7"/>
      <c r="C542" s="7"/>
      <c r="D542" s="2"/>
      <c r="E542" s="24"/>
      <c r="F542" s="24"/>
      <c r="G542" s="24"/>
      <c r="H542" s="7"/>
      <c r="I542" s="7"/>
      <c r="J542" s="14"/>
      <c r="K542" s="14"/>
      <c r="L542" s="110"/>
      <c r="M542" s="7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7"/>
      <c r="C543" s="7"/>
      <c r="D543" s="2"/>
      <c r="E543" s="24"/>
      <c r="F543" s="24"/>
      <c r="G543" s="24"/>
      <c r="H543" s="7"/>
      <c r="I543" s="7"/>
      <c r="J543" s="14"/>
      <c r="K543" s="14"/>
      <c r="L543" s="110"/>
      <c r="M543" s="7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7"/>
      <c r="C544" s="7"/>
      <c r="D544" s="2"/>
      <c r="E544" s="24"/>
      <c r="F544" s="24"/>
      <c r="G544" s="24"/>
      <c r="H544" s="7"/>
      <c r="I544" s="7"/>
      <c r="J544" s="14"/>
      <c r="K544" s="14"/>
      <c r="L544" s="110"/>
      <c r="M544" s="7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7"/>
      <c r="C545" s="7"/>
      <c r="D545" s="2"/>
      <c r="E545" s="24"/>
      <c r="F545" s="24"/>
      <c r="G545" s="24"/>
      <c r="H545" s="7"/>
      <c r="I545" s="7"/>
      <c r="J545" s="14"/>
      <c r="K545" s="14"/>
      <c r="L545" s="110"/>
      <c r="M545" s="7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7"/>
      <c r="C546" s="7"/>
      <c r="D546" s="2"/>
      <c r="E546" s="24"/>
      <c r="F546" s="24"/>
      <c r="G546" s="24"/>
      <c r="H546" s="7"/>
      <c r="I546" s="7"/>
      <c r="J546" s="14"/>
      <c r="K546" s="14"/>
      <c r="L546" s="110"/>
      <c r="M546" s="7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7"/>
      <c r="C547" s="7"/>
      <c r="D547" s="2"/>
      <c r="E547" s="24"/>
      <c r="F547" s="24"/>
      <c r="G547" s="24"/>
      <c r="H547" s="7"/>
      <c r="I547" s="7"/>
      <c r="J547" s="14"/>
      <c r="K547" s="14"/>
      <c r="L547" s="110"/>
      <c r="M547" s="7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7"/>
      <c r="C548" s="7"/>
      <c r="D548" s="2"/>
      <c r="E548" s="24"/>
      <c r="F548" s="24"/>
      <c r="G548" s="24"/>
      <c r="H548" s="7"/>
      <c r="I548" s="7"/>
      <c r="J548" s="14"/>
      <c r="K548" s="14"/>
      <c r="L548" s="110"/>
      <c r="M548" s="7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7"/>
      <c r="C549" s="7"/>
      <c r="D549" s="2"/>
      <c r="E549" s="24"/>
      <c r="F549" s="24"/>
      <c r="G549" s="24"/>
      <c r="H549" s="7"/>
      <c r="I549" s="7"/>
      <c r="J549" s="14"/>
      <c r="K549" s="14"/>
      <c r="L549" s="110"/>
      <c r="M549" s="7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7"/>
      <c r="C550" s="7"/>
      <c r="D550" s="2"/>
      <c r="E550" s="24"/>
      <c r="F550" s="24"/>
      <c r="G550" s="24"/>
      <c r="H550" s="7"/>
      <c r="I550" s="7"/>
      <c r="J550" s="14"/>
      <c r="K550" s="14"/>
      <c r="L550" s="110"/>
      <c r="M550" s="7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7"/>
      <c r="C551" s="7"/>
      <c r="D551" s="2"/>
      <c r="E551" s="24"/>
      <c r="F551" s="24"/>
      <c r="G551" s="24"/>
      <c r="H551" s="7"/>
      <c r="I551" s="7"/>
      <c r="J551" s="14"/>
      <c r="K551" s="14"/>
      <c r="L551" s="110"/>
      <c r="M551" s="7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7"/>
      <c r="C552" s="7"/>
      <c r="D552" s="2"/>
      <c r="E552" s="24"/>
      <c r="F552" s="24"/>
      <c r="G552" s="24"/>
      <c r="H552" s="7"/>
      <c r="I552" s="7"/>
      <c r="J552" s="14"/>
      <c r="K552" s="14"/>
      <c r="L552" s="110"/>
      <c r="M552" s="7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7"/>
      <c r="C553" s="7"/>
      <c r="D553" s="2"/>
      <c r="E553" s="24"/>
      <c r="F553" s="24"/>
      <c r="G553" s="24"/>
      <c r="H553" s="7"/>
      <c r="I553" s="7"/>
      <c r="J553" s="14"/>
      <c r="K553" s="14"/>
      <c r="L553" s="110"/>
      <c r="M553" s="7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7"/>
      <c r="C554" s="7"/>
      <c r="D554" s="2"/>
      <c r="E554" s="24"/>
      <c r="F554" s="24"/>
      <c r="G554" s="24"/>
      <c r="H554" s="7"/>
      <c r="I554" s="7"/>
      <c r="J554" s="14"/>
      <c r="K554" s="14"/>
      <c r="L554" s="110"/>
      <c r="M554" s="7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7"/>
      <c r="C555" s="7"/>
      <c r="D555" s="2"/>
      <c r="E555" s="24"/>
      <c r="F555" s="24"/>
      <c r="G555" s="24"/>
      <c r="H555" s="7"/>
      <c r="I555" s="7"/>
      <c r="J555" s="14"/>
      <c r="K555" s="14"/>
      <c r="L555" s="110"/>
      <c r="M555" s="7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7"/>
      <c r="C556" s="7"/>
      <c r="D556" s="2"/>
      <c r="E556" s="24"/>
      <c r="F556" s="24"/>
      <c r="G556" s="24"/>
      <c r="H556" s="7"/>
      <c r="I556" s="7"/>
      <c r="J556" s="14"/>
      <c r="K556" s="14"/>
      <c r="L556" s="110"/>
      <c r="M556" s="7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7"/>
      <c r="C557" s="7"/>
      <c r="D557" s="2"/>
      <c r="E557" s="24"/>
      <c r="F557" s="24"/>
      <c r="G557" s="24"/>
      <c r="H557" s="7"/>
      <c r="I557" s="7"/>
      <c r="J557" s="14"/>
      <c r="K557" s="14"/>
      <c r="L557" s="110"/>
      <c r="M557" s="7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7"/>
      <c r="C558" s="7"/>
      <c r="D558" s="2"/>
      <c r="E558" s="24"/>
      <c r="F558" s="24"/>
      <c r="G558" s="24"/>
      <c r="H558" s="7"/>
      <c r="I558" s="7"/>
      <c r="J558" s="14"/>
      <c r="K558" s="14"/>
      <c r="L558" s="110"/>
      <c r="M558" s="7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7"/>
      <c r="C559" s="7"/>
      <c r="D559" s="2"/>
      <c r="E559" s="24"/>
      <c r="F559" s="24"/>
      <c r="G559" s="24"/>
      <c r="H559" s="7"/>
      <c r="I559" s="7"/>
      <c r="J559" s="14"/>
      <c r="K559" s="14"/>
      <c r="L559" s="110"/>
      <c r="M559" s="7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7"/>
      <c r="C560" s="7"/>
      <c r="D560" s="2"/>
      <c r="E560" s="24"/>
      <c r="F560" s="24"/>
      <c r="G560" s="24"/>
      <c r="H560" s="7"/>
      <c r="I560" s="7"/>
      <c r="J560" s="14"/>
      <c r="K560" s="14"/>
      <c r="L560" s="110"/>
      <c r="M560" s="7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7"/>
      <c r="C561" s="7"/>
      <c r="D561" s="2"/>
      <c r="E561" s="24"/>
      <c r="F561" s="24"/>
      <c r="G561" s="24"/>
      <c r="H561" s="7"/>
      <c r="I561" s="7"/>
      <c r="J561" s="14"/>
      <c r="K561" s="14"/>
      <c r="L561" s="110"/>
      <c r="M561" s="7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7"/>
      <c r="C562" s="7"/>
      <c r="D562" s="2"/>
      <c r="E562" s="24"/>
      <c r="F562" s="24"/>
      <c r="G562" s="24"/>
      <c r="H562" s="7"/>
      <c r="I562" s="7"/>
      <c r="J562" s="14"/>
      <c r="K562" s="14"/>
      <c r="L562" s="110"/>
      <c r="M562" s="7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7"/>
      <c r="C563" s="7"/>
      <c r="D563" s="2"/>
      <c r="E563" s="24"/>
      <c r="F563" s="24"/>
      <c r="G563" s="24"/>
      <c r="H563" s="7"/>
      <c r="I563" s="7"/>
      <c r="J563" s="14"/>
      <c r="K563" s="14"/>
      <c r="L563" s="110"/>
      <c r="M563" s="7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7"/>
      <c r="C564" s="7"/>
      <c r="D564" s="2"/>
      <c r="E564" s="24"/>
      <c r="F564" s="24"/>
      <c r="G564" s="24"/>
      <c r="H564" s="7"/>
      <c r="I564" s="7"/>
      <c r="J564" s="14"/>
      <c r="K564" s="14"/>
      <c r="L564" s="110"/>
      <c r="M564" s="7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7"/>
      <c r="C565" s="7"/>
      <c r="D565" s="2"/>
      <c r="E565" s="24"/>
      <c r="F565" s="24"/>
      <c r="G565" s="24"/>
      <c r="H565" s="7"/>
      <c r="I565" s="7"/>
      <c r="J565" s="14"/>
      <c r="K565" s="14"/>
      <c r="L565" s="110"/>
      <c r="M565" s="7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7"/>
      <c r="C566" s="7"/>
      <c r="D566" s="2"/>
      <c r="E566" s="24"/>
      <c r="F566" s="24"/>
      <c r="G566" s="24"/>
      <c r="H566" s="7"/>
      <c r="I566" s="7"/>
      <c r="J566" s="14"/>
      <c r="K566" s="14"/>
      <c r="L566" s="110"/>
      <c r="M566" s="7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7"/>
      <c r="C567" s="7"/>
      <c r="D567" s="2"/>
      <c r="E567" s="24"/>
      <c r="F567" s="24"/>
      <c r="G567" s="24"/>
      <c r="H567" s="7"/>
      <c r="I567" s="7"/>
      <c r="J567" s="14"/>
      <c r="K567" s="14"/>
      <c r="L567" s="110"/>
      <c r="M567" s="7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7"/>
      <c r="C568" s="7"/>
      <c r="D568" s="2"/>
      <c r="E568" s="24"/>
      <c r="F568" s="24"/>
      <c r="G568" s="24"/>
      <c r="H568" s="7"/>
      <c r="I568" s="7"/>
      <c r="J568" s="14"/>
      <c r="K568" s="14"/>
      <c r="L568" s="110"/>
      <c r="M568" s="7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7"/>
      <c r="C569" s="7"/>
      <c r="D569" s="2"/>
      <c r="E569" s="24"/>
      <c r="F569" s="24"/>
      <c r="G569" s="24"/>
      <c r="H569" s="7"/>
      <c r="I569" s="7"/>
      <c r="J569" s="14"/>
      <c r="K569" s="14"/>
      <c r="L569" s="110"/>
      <c r="M569" s="7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7"/>
      <c r="C570" s="7"/>
      <c r="D570" s="2"/>
      <c r="E570" s="24"/>
      <c r="F570" s="24"/>
      <c r="G570" s="24"/>
      <c r="H570" s="7"/>
      <c r="I570" s="7"/>
      <c r="J570" s="14"/>
      <c r="K570" s="14"/>
      <c r="L570" s="110"/>
      <c r="M570" s="7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7"/>
      <c r="C571" s="7"/>
      <c r="D571" s="2"/>
      <c r="E571" s="24"/>
      <c r="F571" s="24"/>
      <c r="G571" s="24"/>
      <c r="H571" s="7"/>
      <c r="I571" s="7"/>
      <c r="J571" s="14"/>
      <c r="K571" s="14"/>
      <c r="L571" s="110"/>
      <c r="M571" s="7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7"/>
      <c r="C572" s="7"/>
      <c r="D572" s="2"/>
      <c r="E572" s="24"/>
      <c r="F572" s="24"/>
      <c r="G572" s="24"/>
      <c r="H572" s="7"/>
      <c r="I572" s="7"/>
      <c r="J572" s="14"/>
      <c r="K572" s="14"/>
      <c r="L572" s="110"/>
      <c r="M572" s="7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7"/>
      <c r="C573" s="7"/>
      <c r="D573" s="2"/>
      <c r="E573" s="24"/>
      <c r="F573" s="24"/>
      <c r="G573" s="24"/>
      <c r="H573" s="7"/>
      <c r="I573" s="7"/>
      <c r="J573" s="14"/>
      <c r="K573" s="14"/>
      <c r="L573" s="110"/>
      <c r="M573" s="7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7"/>
      <c r="C574" s="7"/>
      <c r="D574" s="2"/>
      <c r="E574" s="24"/>
      <c r="F574" s="24"/>
      <c r="G574" s="24"/>
      <c r="H574" s="7"/>
      <c r="I574" s="7"/>
      <c r="J574" s="14"/>
      <c r="K574" s="14"/>
      <c r="L574" s="110"/>
      <c r="M574" s="7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7"/>
      <c r="C575" s="7"/>
      <c r="D575" s="2"/>
      <c r="E575" s="24"/>
      <c r="F575" s="24"/>
      <c r="G575" s="24"/>
      <c r="H575" s="7"/>
      <c r="I575" s="7"/>
      <c r="J575" s="14"/>
      <c r="K575" s="14"/>
      <c r="L575" s="110"/>
      <c r="M575" s="7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7"/>
      <c r="C576" s="7"/>
      <c r="D576" s="2"/>
      <c r="E576" s="24"/>
      <c r="F576" s="24"/>
      <c r="G576" s="24"/>
      <c r="H576" s="7"/>
      <c r="I576" s="7"/>
      <c r="J576" s="14"/>
      <c r="K576" s="14"/>
      <c r="L576" s="110"/>
      <c r="M576" s="7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7"/>
      <c r="C577" s="7"/>
      <c r="D577" s="2"/>
      <c r="E577" s="24"/>
      <c r="F577" s="24"/>
      <c r="G577" s="24"/>
      <c r="H577" s="7"/>
      <c r="I577" s="7"/>
      <c r="J577" s="14"/>
      <c r="K577" s="14"/>
      <c r="L577" s="110"/>
      <c r="M577" s="7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7"/>
      <c r="C578" s="7"/>
      <c r="D578" s="2"/>
      <c r="E578" s="24"/>
      <c r="F578" s="24"/>
      <c r="G578" s="24"/>
      <c r="H578" s="7"/>
      <c r="I578" s="7"/>
      <c r="J578" s="14"/>
      <c r="K578" s="14"/>
      <c r="L578" s="110"/>
      <c r="M578" s="7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7"/>
      <c r="C579" s="7"/>
      <c r="D579" s="2"/>
      <c r="E579" s="24"/>
      <c r="F579" s="24"/>
      <c r="G579" s="24"/>
      <c r="H579" s="7"/>
      <c r="I579" s="7"/>
      <c r="J579" s="14"/>
      <c r="K579" s="14"/>
      <c r="L579" s="110"/>
      <c r="M579" s="7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7"/>
      <c r="C580" s="7"/>
      <c r="D580" s="2"/>
      <c r="E580" s="24"/>
      <c r="F580" s="24"/>
      <c r="G580" s="24"/>
      <c r="H580" s="7"/>
      <c r="I580" s="7"/>
      <c r="J580" s="14"/>
      <c r="K580" s="14"/>
      <c r="L580" s="110"/>
      <c r="M580" s="7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7"/>
      <c r="C581" s="7"/>
      <c r="D581" s="2"/>
      <c r="E581" s="24"/>
      <c r="F581" s="24"/>
      <c r="G581" s="24"/>
      <c r="H581" s="7"/>
      <c r="I581" s="7"/>
      <c r="J581" s="14"/>
      <c r="K581" s="14"/>
      <c r="L581" s="110"/>
      <c r="M581" s="7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7"/>
      <c r="C582" s="7"/>
      <c r="D582" s="2"/>
      <c r="E582" s="24"/>
      <c r="F582" s="24"/>
      <c r="G582" s="24"/>
      <c r="H582" s="7"/>
      <c r="I582" s="7"/>
      <c r="J582" s="14"/>
      <c r="K582" s="14"/>
      <c r="L582" s="110"/>
      <c r="M582" s="7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7"/>
      <c r="C583" s="7"/>
      <c r="D583" s="2"/>
      <c r="E583" s="24"/>
      <c r="F583" s="24"/>
      <c r="G583" s="24"/>
      <c r="H583" s="7"/>
      <c r="I583" s="7"/>
      <c r="J583" s="14"/>
      <c r="K583" s="14"/>
      <c r="L583" s="110"/>
      <c r="M583" s="7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7"/>
      <c r="C584" s="7"/>
      <c r="D584" s="2"/>
      <c r="E584" s="24"/>
      <c r="F584" s="24"/>
      <c r="G584" s="24"/>
      <c r="H584" s="7"/>
      <c r="I584" s="7"/>
      <c r="J584" s="14"/>
      <c r="K584" s="14"/>
      <c r="L584" s="110"/>
      <c r="M584" s="7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7"/>
      <c r="C585" s="7"/>
      <c r="D585" s="2"/>
      <c r="E585" s="24"/>
      <c r="F585" s="24"/>
      <c r="G585" s="24"/>
      <c r="H585" s="7"/>
      <c r="I585" s="7"/>
      <c r="J585" s="14"/>
      <c r="K585" s="14"/>
      <c r="L585" s="110"/>
      <c r="M585" s="7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7"/>
      <c r="C586" s="7"/>
      <c r="D586" s="2"/>
      <c r="E586" s="24"/>
      <c r="F586" s="24"/>
      <c r="G586" s="24"/>
      <c r="H586" s="7"/>
      <c r="I586" s="7"/>
      <c r="J586" s="14"/>
      <c r="K586" s="14"/>
      <c r="L586" s="110"/>
      <c r="M586" s="7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7"/>
      <c r="C587" s="7"/>
      <c r="D587" s="2"/>
      <c r="E587" s="24"/>
      <c r="F587" s="24"/>
      <c r="G587" s="24"/>
      <c r="H587" s="7"/>
      <c r="I587" s="7"/>
      <c r="J587" s="14"/>
      <c r="K587" s="14"/>
      <c r="L587" s="110"/>
      <c r="M587" s="7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7"/>
      <c r="C588" s="7"/>
      <c r="D588" s="2"/>
      <c r="E588" s="24"/>
      <c r="F588" s="24"/>
      <c r="G588" s="24"/>
      <c r="H588" s="7"/>
      <c r="I588" s="7"/>
      <c r="J588" s="14"/>
      <c r="K588" s="14"/>
      <c r="L588" s="110"/>
      <c r="M588" s="7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7"/>
      <c r="C589" s="7"/>
      <c r="D589" s="2"/>
      <c r="E589" s="24"/>
      <c r="F589" s="24"/>
      <c r="G589" s="24"/>
      <c r="H589" s="7"/>
      <c r="I589" s="7"/>
      <c r="J589" s="14"/>
      <c r="K589" s="14"/>
      <c r="L589" s="110"/>
      <c r="M589" s="7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7"/>
      <c r="C590" s="7"/>
      <c r="D590" s="2"/>
      <c r="E590" s="24"/>
      <c r="F590" s="24"/>
      <c r="G590" s="24"/>
      <c r="H590" s="7"/>
      <c r="I590" s="7"/>
      <c r="J590" s="14"/>
      <c r="K590" s="14"/>
      <c r="L590" s="110"/>
      <c r="M590" s="7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7"/>
      <c r="C591" s="7"/>
      <c r="D591" s="2"/>
      <c r="E591" s="24"/>
      <c r="F591" s="24"/>
      <c r="G591" s="24"/>
      <c r="H591" s="7"/>
      <c r="I591" s="7"/>
      <c r="J591" s="14"/>
      <c r="K591" s="14"/>
      <c r="L591" s="110"/>
      <c r="M591" s="7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7"/>
      <c r="C592" s="7"/>
      <c r="D592" s="2"/>
      <c r="E592" s="24"/>
      <c r="F592" s="24"/>
      <c r="G592" s="24"/>
      <c r="H592" s="7"/>
      <c r="I592" s="7"/>
      <c r="J592" s="14"/>
      <c r="K592" s="14"/>
      <c r="L592" s="110"/>
      <c r="M592" s="7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7"/>
      <c r="C593" s="7"/>
      <c r="D593" s="2"/>
      <c r="E593" s="24"/>
      <c r="F593" s="24"/>
      <c r="G593" s="24"/>
      <c r="H593" s="7"/>
      <c r="I593" s="7"/>
      <c r="J593" s="14"/>
      <c r="K593" s="14"/>
      <c r="L593" s="110"/>
      <c r="M593" s="7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7"/>
      <c r="C594" s="7"/>
      <c r="D594" s="2"/>
      <c r="E594" s="24"/>
      <c r="F594" s="24"/>
      <c r="G594" s="24"/>
      <c r="H594" s="7"/>
      <c r="I594" s="7"/>
      <c r="J594" s="14"/>
      <c r="K594" s="14"/>
      <c r="L594" s="110"/>
      <c r="M594" s="7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7"/>
      <c r="C595" s="7"/>
      <c r="D595" s="2"/>
      <c r="E595" s="24"/>
      <c r="F595" s="24"/>
      <c r="G595" s="24"/>
      <c r="H595" s="7"/>
      <c r="I595" s="7"/>
      <c r="J595" s="14"/>
      <c r="K595" s="14"/>
      <c r="L595" s="110"/>
      <c r="M595" s="7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7"/>
      <c r="C596" s="7"/>
      <c r="D596" s="2"/>
      <c r="E596" s="24"/>
      <c r="F596" s="24"/>
      <c r="G596" s="24"/>
      <c r="H596" s="7"/>
      <c r="I596" s="7"/>
      <c r="J596" s="14"/>
      <c r="K596" s="14"/>
      <c r="L596" s="110"/>
      <c r="M596" s="7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7"/>
      <c r="C597" s="7"/>
      <c r="D597" s="2"/>
      <c r="E597" s="24"/>
      <c r="F597" s="24"/>
      <c r="G597" s="24"/>
      <c r="H597" s="7"/>
      <c r="I597" s="7"/>
      <c r="J597" s="14"/>
      <c r="K597" s="14"/>
      <c r="L597" s="110"/>
      <c r="M597" s="7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7"/>
      <c r="C598" s="7"/>
      <c r="D598" s="2"/>
      <c r="E598" s="24"/>
      <c r="F598" s="24"/>
      <c r="G598" s="24"/>
      <c r="H598" s="7"/>
      <c r="I598" s="7"/>
      <c r="J598" s="14"/>
      <c r="K598" s="14"/>
      <c r="L598" s="110"/>
      <c r="M598" s="7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7"/>
      <c r="C599" s="7"/>
      <c r="D599" s="2"/>
      <c r="E599" s="24"/>
      <c r="F599" s="24"/>
      <c r="G599" s="24"/>
      <c r="H599" s="7"/>
      <c r="I599" s="7"/>
      <c r="J599" s="14"/>
      <c r="K599" s="14"/>
      <c r="L599" s="110"/>
      <c r="M599" s="7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7"/>
      <c r="C600" s="7"/>
      <c r="D600" s="2"/>
      <c r="E600" s="24"/>
      <c r="F600" s="24"/>
      <c r="G600" s="24"/>
      <c r="H600" s="7"/>
      <c r="I600" s="7"/>
      <c r="J600" s="14"/>
      <c r="K600" s="14"/>
      <c r="L600" s="110"/>
      <c r="M600" s="7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7"/>
      <c r="C601" s="7"/>
      <c r="D601" s="2"/>
      <c r="E601" s="24"/>
      <c r="F601" s="24"/>
      <c r="G601" s="24"/>
      <c r="H601" s="7"/>
      <c r="I601" s="7"/>
      <c r="J601" s="14"/>
      <c r="K601" s="14"/>
      <c r="L601" s="110"/>
      <c r="M601" s="7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7"/>
      <c r="C602" s="7"/>
      <c r="D602" s="2"/>
      <c r="E602" s="24"/>
      <c r="F602" s="24"/>
      <c r="G602" s="24"/>
      <c r="H602" s="7"/>
      <c r="I602" s="7"/>
      <c r="J602" s="14"/>
      <c r="K602" s="14"/>
      <c r="L602" s="110"/>
      <c r="M602" s="7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7"/>
      <c r="C603" s="7"/>
      <c r="D603" s="2"/>
      <c r="E603" s="24"/>
      <c r="F603" s="24"/>
      <c r="G603" s="24"/>
      <c r="H603" s="7"/>
      <c r="I603" s="7"/>
      <c r="J603" s="14"/>
      <c r="K603" s="14"/>
      <c r="L603" s="110"/>
      <c r="M603" s="7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7"/>
      <c r="C604" s="7"/>
      <c r="D604" s="2"/>
      <c r="E604" s="24"/>
      <c r="F604" s="24"/>
      <c r="G604" s="24"/>
      <c r="H604" s="7"/>
      <c r="I604" s="7"/>
      <c r="J604" s="14"/>
      <c r="K604" s="14"/>
      <c r="L604" s="110"/>
      <c r="M604" s="7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7"/>
      <c r="C605" s="7"/>
      <c r="D605" s="2"/>
      <c r="E605" s="24"/>
      <c r="F605" s="24"/>
      <c r="G605" s="24"/>
      <c r="H605" s="7"/>
      <c r="I605" s="7"/>
      <c r="J605" s="14"/>
      <c r="K605" s="14"/>
      <c r="L605" s="110"/>
      <c r="M605" s="7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7"/>
      <c r="C606" s="7"/>
      <c r="D606" s="2"/>
      <c r="E606" s="24"/>
      <c r="F606" s="24"/>
      <c r="G606" s="24"/>
      <c r="H606" s="7"/>
      <c r="I606" s="7"/>
      <c r="J606" s="14"/>
      <c r="K606" s="14"/>
      <c r="L606" s="110"/>
      <c r="M606" s="7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7"/>
      <c r="C607" s="7"/>
      <c r="D607" s="2"/>
      <c r="E607" s="24"/>
      <c r="F607" s="24"/>
      <c r="G607" s="24"/>
      <c r="H607" s="7"/>
      <c r="I607" s="7"/>
      <c r="J607" s="14"/>
      <c r="K607" s="14"/>
      <c r="L607" s="110"/>
      <c r="M607" s="7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7"/>
      <c r="C608" s="7"/>
      <c r="D608" s="2"/>
      <c r="E608" s="24"/>
      <c r="F608" s="24"/>
      <c r="G608" s="24"/>
      <c r="H608" s="7"/>
      <c r="I608" s="7"/>
      <c r="J608" s="14"/>
      <c r="K608" s="14"/>
      <c r="L608" s="110"/>
      <c r="M608" s="7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7"/>
      <c r="C609" s="7"/>
      <c r="D609" s="2"/>
      <c r="E609" s="24"/>
      <c r="F609" s="24"/>
      <c r="G609" s="24"/>
      <c r="H609" s="7"/>
      <c r="I609" s="7"/>
      <c r="J609" s="14"/>
      <c r="K609" s="14"/>
      <c r="L609" s="110"/>
      <c r="M609" s="7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7"/>
      <c r="C610" s="7"/>
      <c r="D610" s="2"/>
      <c r="E610" s="24"/>
      <c r="F610" s="24"/>
      <c r="G610" s="24"/>
      <c r="H610" s="7"/>
      <c r="I610" s="7"/>
      <c r="J610" s="14"/>
      <c r="K610" s="14"/>
      <c r="L610" s="110"/>
      <c r="M610" s="7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7"/>
      <c r="C611" s="7"/>
      <c r="D611" s="2"/>
      <c r="E611" s="24"/>
      <c r="F611" s="24"/>
      <c r="G611" s="24"/>
      <c r="H611" s="7"/>
      <c r="I611" s="7"/>
      <c r="J611" s="14"/>
      <c r="K611" s="14"/>
      <c r="L611" s="110"/>
      <c r="M611" s="7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7"/>
      <c r="C612" s="7"/>
      <c r="D612" s="2"/>
      <c r="E612" s="24"/>
      <c r="F612" s="24"/>
      <c r="G612" s="24"/>
      <c r="H612" s="7"/>
      <c r="I612" s="7"/>
      <c r="J612" s="14"/>
      <c r="K612" s="14"/>
      <c r="L612" s="110"/>
      <c r="M612" s="7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7"/>
      <c r="C613" s="7"/>
      <c r="D613" s="2"/>
      <c r="E613" s="24"/>
      <c r="F613" s="24"/>
      <c r="G613" s="24"/>
      <c r="H613" s="7"/>
      <c r="I613" s="7"/>
      <c r="J613" s="14"/>
      <c r="K613" s="14"/>
      <c r="L613" s="110"/>
      <c r="M613" s="7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7"/>
      <c r="C614" s="7"/>
      <c r="D614" s="2"/>
      <c r="E614" s="24"/>
      <c r="F614" s="24"/>
      <c r="G614" s="24"/>
      <c r="H614" s="7"/>
      <c r="I614" s="7"/>
      <c r="J614" s="14"/>
      <c r="K614" s="14"/>
      <c r="L614" s="110"/>
      <c r="M614" s="7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7"/>
      <c r="C615" s="7"/>
      <c r="D615" s="2"/>
      <c r="E615" s="24"/>
      <c r="F615" s="24"/>
      <c r="G615" s="24"/>
      <c r="H615" s="7"/>
      <c r="I615" s="7"/>
      <c r="J615" s="14"/>
      <c r="K615" s="14"/>
      <c r="L615" s="110"/>
      <c r="M615" s="7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7"/>
      <c r="C616" s="7"/>
      <c r="D616" s="2"/>
      <c r="E616" s="24"/>
      <c r="F616" s="24"/>
      <c r="G616" s="24"/>
      <c r="H616" s="7"/>
      <c r="I616" s="7"/>
      <c r="J616" s="14"/>
      <c r="K616" s="14"/>
      <c r="L616" s="110"/>
      <c r="M616" s="7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7"/>
      <c r="C617" s="7"/>
      <c r="D617" s="2"/>
      <c r="E617" s="24"/>
      <c r="F617" s="24"/>
      <c r="G617" s="24"/>
      <c r="H617" s="7"/>
      <c r="I617" s="7"/>
      <c r="J617" s="14"/>
      <c r="K617" s="14"/>
      <c r="L617" s="110"/>
      <c r="M617" s="7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7"/>
      <c r="C618" s="7"/>
      <c r="D618" s="2"/>
      <c r="E618" s="24"/>
      <c r="F618" s="24"/>
      <c r="G618" s="24"/>
      <c r="H618" s="7"/>
      <c r="I618" s="7"/>
      <c r="J618" s="14"/>
      <c r="K618" s="14"/>
      <c r="L618" s="110"/>
      <c r="M618" s="7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7"/>
      <c r="C619" s="7"/>
      <c r="D619" s="2"/>
      <c r="E619" s="24"/>
      <c r="F619" s="24"/>
      <c r="G619" s="24"/>
      <c r="H619" s="7"/>
      <c r="I619" s="7"/>
      <c r="J619" s="14"/>
      <c r="K619" s="14"/>
      <c r="L619" s="110"/>
      <c r="M619" s="7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7"/>
      <c r="C620" s="7"/>
      <c r="D620" s="2"/>
      <c r="E620" s="24"/>
      <c r="F620" s="24"/>
      <c r="G620" s="24"/>
      <c r="H620" s="7"/>
      <c r="I620" s="7"/>
      <c r="J620" s="14"/>
      <c r="K620" s="14"/>
      <c r="L620" s="110"/>
      <c r="M620" s="7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7"/>
      <c r="C621" s="7"/>
      <c r="D621" s="2"/>
      <c r="E621" s="24"/>
      <c r="F621" s="24"/>
      <c r="G621" s="24"/>
      <c r="H621" s="7"/>
      <c r="I621" s="7"/>
      <c r="J621" s="14"/>
      <c r="K621" s="14"/>
      <c r="L621" s="110"/>
      <c r="M621" s="7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7"/>
      <c r="C622" s="7"/>
      <c r="D622" s="2"/>
      <c r="E622" s="24"/>
      <c r="F622" s="24"/>
      <c r="G622" s="24"/>
      <c r="H622" s="7"/>
      <c r="I622" s="7"/>
      <c r="J622" s="14"/>
      <c r="K622" s="14"/>
      <c r="L622" s="110"/>
      <c r="M622" s="7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7"/>
      <c r="C623" s="7"/>
      <c r="D623" s="2"/>
      <c r="E623" s="24"/>
      <c r="F623" s="24"/>
      <c r="G623" s="24"/>
      <c r="H623" s="7"/>
      <c r="I623" s="7"/>
      <c r="J623" s="14"/>
      <c r="K623" s="14"/>
      <c r="L623" s="110"/>
      <c r="M623" s="7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7"/>
      <c r="C624" s="7"/>
      <c r="D624" s="2"/>
      <c r="E624" s="24"/>
      <c r="F624" s="24"/>
      <c r="G624" s="24"/>
      <c r="H624" s="7"/>
      <c r="I624" s="7"/>
      <c r="J624" s="14"/>
      <c r="K624" s="14"/>
      <c r="L624" s="110"/>
      <c r="M624" s="7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7"/>
      <c r="C625" s="7"/>
      <c r="D625" s="2"/>
      <c r="E625" s="24"/>
      <c r="F625" s="24"/>
      <c r="G625" s="24"/>
      <c r="H625" s="7"/>
      <c r="I625" s="7"/>
      <c r="J625" s="14"/>
      <c r="K625" s="14"/>
      <c r="L625" s="110"/>
      <c r="M625" s="7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7"/>
      <c r="C626" s="7"/>
      <c r="D626" s="2"/>
      <c r="E626" s="24"/>
      <c r="F626" s="24"/>
      <c r="G626" s="24"/>
      <c r="H626" s="7"/>
      <c r="I626" s="7"/>
      <c r="J626" s="14"/>
      <c r="K626" s="14"/>
      <c r="L626" s="110"/>
      <c r="M626" s="7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7"/>
      <c r="C627" s="7"/>
      <c r="D627" s="2"/>
      <c r="E627" s="24"/>
      <c r="F627" s="24"/>
      <c r="G627" s="24"/>
      <c r="H627" s="7"/>
      <c r="I627" s="7"/>
      <c r="J627" s="14"/>
      <c r="K627" s="14"/>
      <c r="L627" s="110"/>
      <c r="M627" s="7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7"/>
      <c r="C628" s="7"/>
      <c r="D628" s="2"/>
      <c r="E628" s="24"/>
      <c r="F628" s="24"/>
      <c r="G628" s="24"/>
      <c r="H628" s="7"/>
      <c r="I628" s="7"/>
      <c r="J628" s="14"/>
      <c r="K628" s="14"/>
      <c r="L628" s="110"/>
      <c r="M628" s="7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7"/>
      <c r="C629" s="7"/>
      <c r="D629" s="2"/>
      <c r="E629" s="24"/>
      <c r="F629" s="24"/>
      <c r="G629" s="24"/>
      <c r="H629" s="7"/>
      <c r="I629" s="7"/>
      <c r="J629" s="14"/>
      <c r="K629" s="14"/>
      <c r="L629" s="110"/>
      <c r="M629" s="7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7"/>
      <c r="C630" s="7"/>
      <c r="D630" s="2"/>
      <c r="E630" s="24"/>
      <c r="F630" s="24"/>
      <c r="G630" s="24"/>
      <c r="H630" s="7"/>
      <c r="I630" s="7"/>
      <c r="J630" s="14"/>
      <c r="K630" s="14"/>
      <c r="L630" s="110"/>
      <c r="M630" s="7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7"/>
      <c r="C631" s="7"/>
      <c r="D631" s="2"/>
      <c r="E631" s="24"/>
      <c r="F631" s="24"/>
      <c r="G631" s="24"/>
      <c r="H631" s="7"/>
      <c r="I631" s="7"/>
      <c r="J631" s="14"/>
      <c r="K631" s="14"/>
      <c r="L631" s="110"/>
      <c r="M631" s="7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7"/>
      <c r="C632" s="7"/>
      <c r="D632" s="2"/>
      <c r="E632" s="24"/>
      <c r="F632" s="24"/>
      <c r="G632" s="24"/>
      <c r="H632" s="7"/>
      <c r="I632" s="7"/>
      <c r="J632" s="14"/>
      <c r="K632" s="14"/>
      <c r="L632" s="110"/>
      <c r="M632" s="7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7"/>
      <c r="C633" s="7"/>
      <c r="D633" s="2"/>
      <c r="E633" s="24"/>
      <c r="F633" s="24"/>
      <c r="G633" s="24"/>
      <c r="H633" s="7"/>
      <c r="I633" s="7"/>
      <c r="J633" s="14"/>
      <c r="K633" s="14"/>
      <c r="L633" s="110"/>
      <c r="M633" s="7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7"/>
      <c r="C634" s="7"/>
      <c r="D634" s="2"/>
      <c r="E634" s="24"/>
      <c r="F634" s="24"/>
      <c r="G634" s="24"/>
      <c r="H634" s="7"/>
      <c r="I634" s="7"/>
      <c r="J634" s="14"/>
      <c r="K634" s="14"/>
      <c r="L634" s="110"/>
      <c r="M634" s="7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7"/>
      <c r="C635" s="7"/>
      <c r="D635" s="2"/>
      <c r="E635" s="24"/>
      <c r="F635" s="24"/>
      <c r="G635" s="24"/>
      <c r="H635" s="7"/>
      <c r="I635" s="7"/>
      <c r="J635" s="14"/>
      <c r="K635" s="14"/>
      <c r="L635" s="110"/>
      <c r="M635" s="7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7"/>
      <c r="C636" s="7"/>
      <c r="D636" s="2"/>
      <c r="E636" s="24"/>
      <c r="F636" s="24"/>
      <c r="G636" s="24"/>
      <c r="H636" s="7"/>
      <c r="I636" s="7"/>
      <c r="J636" s="14"/>
      <c r="K636" s="14"/>
      <c r="L636" s="110"/>
      <c r="M636" s="7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7"/>
      <c r="C637" s="7"/>
      <c r="D637" s="2"/>
      <c r="E637" s="24"/>
      <c r="F637" s="24"/>
      <c r="G637" s="24"/>
      <c r="H637" s="7"/>
      <c r="I637" s="7"/>
      <c r="J637" s="14"/>
      <c r="K637" s="14"/>
      <c r="L637" s="110"/>
      <c r="M637" s="7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7"/>
      <c r="C638" s="7"/>
      <c r="D638" s="2"/>
      <c r="E638" s="24"/>
      <c r="F638" s="24"/>
      <c r="G638" s="24"/>
      <c r="H638" s="7"/>
      <c r="I638" s="7"/>
      <c r="J638" s="14"/>
      <c r="K638" s="14"/>
      <c r="L638" s="110"/>
      <c r="M638" s="7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7"/>
      <c r="C639" s="7"/>
      <c r="D639" s="2"/>
      <c r="E639" s="24"/>
      <c r="F639" s="24"/>
      <c r="G639" s="24"/>
      <c r="H639" s="7"/>
      <c r="I639" s="7"/>
      <c r="J639" s="14"/>
      <c r="K639" s="14"/>
      <c r="L639" s="110"/>
      <c r="M639" s="7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7"/>
      <c r="C640" s="7"/>
      <c r="D640" s="2"/>
      <c r="E640" s="24"/>
      <c r="F640" s="24"/>
      <c r="G640" s="24"/>
      <c r="H640" s="7"/>
      <c r="I640" s="7"/>
      <c r="J640" s="14"/>
      <c r="K640" s="14"/>
      <c r="L640" s="110"/>
      <c r="M640" s="7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7"/>
      <c r="C641" s="7"/>
      <c r="D641" s="2"/>
      <c r="E641" s="24"/>
      <c r="F641" s="24"/>
      <c r="G641" s="24"/>
      <c r="H641" s="7"/>
      <c r="I641" s="7"/>
      <c r="J641" s="14"/>
      <c r="K641" s="14"/>
      <c r="L641" s="110"/>
      <c r="M641" s="7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7"/>
      <c r="C642" s="7"/>
      <c r="D642" s="2"/>
      <c r="E642" s="24"/>
      <c r="F642" s="24"/>
      <c r="G642" s="24"/>
      <c r="H642" s="7"/>
      <c r="I642" s="7"/>
      <c r="J642" s="14"/>
      <c r="K642" s="14"/>
      <c r="L642" s="110"/>
      <c r="M642" s="7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7"/>
      <c r="C643" s="7"/>
      <c r="D643" s="2"/>
      <c r="E643" s="24"/>
      <c r="F643" s="24"/>
      <c r="G643" s="24"/>
      <c r="H643" s="7"/>
      <c r="I643" s="7"/>
      <c r="J643" s="14"/>
      <c r="K643" s="14"/>
      <c r="L643" s="110"/>
      <c r="M643" s="7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7"/>
      <c r="C644" s="7"/>
      <c r="D644" s="2"/>
      <c r="E644" s="24"/>
      <c r="F644" s="24"/>
      <c r="G644" s="24"/>
      <c r="H644" s="7"/>
      <c r="I644" s="7"/>
      <c r="J644" s="14"/>
      <c r="K644" s="14"/>
      <c r="L644" s="110"/>
      <c r="M644" s="7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7"/>
      <c r="C645" s="7"/>
      <c r="D645" s="2"/>
      <c r="E645" s="24"/>
      <c r="F645" s="24"/>
      <c r="G645" s="24"/>
      <c r="H645" s="7"/>
      <c r="I645" s="7"/>
      <c r="J645" s="14"/>
      <c r="K645" s="14"/>
      <c r="L645" s="110"/>
      <c r="M645" s="7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7"/>
      <c r="C646" s="7"/>
      <c r="D646" s="2"/>
      <c r="E646" s="24"/>
      <c r="F646" s="24"/>
      <c r="G646" s="24"/>
      <c r="H646" s="7"/>
      <c r="I646" s="7"/>
      <c r="J646" s="14"/>
      <c r="K646" s="14"/>
      <c r="L646" s="110"/>
      <c r="M646" s="7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7"/>
      <c r="C647" s="7"/>
      <c r="D647" s="2"/>
      <c r="E647" s="24"/>
      <c r="F647" s="24"/>
      <c r="G647" s="24"/>
      <c r="H647" s="7"/>
      <c r="I647" s="7"/>
      <c r="J647" s="14"/>
      <c r="K647" s="14"/>
      <c r="L647" s="110"/>
      <c r="M647" s="7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7"/>
      <c r="C648" s="7"/>
      <c r="D648" s="2"/>
      <c r="E648" s="24"/>
      <c r="F648" s="24"/>
      <c r="G648" s="24"/>
      <c r="H648" s="7"/>
      <c r="I648" s="7"/>
      <c r="J648" s="14"/>
      <c r="K648" s="14"/>
      <c r="L648" s="110"/>
      <c r="M648" s="7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7"/>
      <c r="C649" s="7"/>
      <c r="D649" s="2"/>
      <c r="E649" s="24"/>
      <c r="F649" s="24"/>
      <c r="G649" s="24"/>
      <c r="H649" s="7"/>
      <c r="I649" s="7"/>
      <c r="J649" s="14"/>
      <c r="K649" s="14"/>
      <c r="L649" s="110"/>
      <c r="M649" s="7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7"/>
      <c r="C650" s="7"/>
      <c r="D650" s="2"/>
      <c r="E650" s="24"/>
      <c r="F650" s="24"/>
      <c r="G650" s="24"/>
      <c r="H650" s="7"/>
      <c r="I650" s="7"/>
      <c r="J650" s="14"/>
      <c r="K650" s="14"/>
      <c r="L650" s="110"/>
      <c r="M650" s="7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7"/>
      <c r="C651" s="7"/>
      <c r="D651" s="2"/>
      <c r="E651" s="24"/>
      <c r="F651" s="24"/>
      <c r="G651" s="24"/>
      <c r="H651" s="7"/>
      <c r="I651" s="7"/>
      <c r="J651" s="14"/>
      <c r="K651" s="14"/>
      <c r="L651" s="110"/>
      <c r="M651" s="7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7"/>
      <c r="C652" s="7"/>
      <c r="D652" s="2"/>
      <c r="E652" s="24"/>
      <c r="F652" s="24"/>
      <c r="G652" s="24"/>
      <c r="H652" s="7"/>
      <c r="I652" s="7"/>
      <c r="J652" s="14"/>
      <c r="K652" s="14"/>
      <c r="L652" s="110"/>
      <c r="M652" s="7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7"/>
      <c r="C653" s="7"/>
      <c r="D653" s="2"/>
      <c r="E653" s="24"/>
      <c r="F653" s="24"/>
      <c r="G653" s="24"/>
      <c r="H653" s="7"/>
      <c r="I653" s="7"/>
      <c r="J653" s="14"/>
      <c r="K653" s="14"/>
      <c r="L653" s="110"/>
      <c r="M653" s="7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7"/>
      <c r="C654" s="7"/>
      <c r="D654" s="2"/>
      <c r="E654" s="24"/>
      <c r="F654" s="24"/>
      <c r="G654" s="24"/>
      <c r="H654" s="7"/>
      <c r="I654" s="7"/>
      <c r="J654" s="14"/>
      <c r="K654" s="14"/>
      <c r="L654" s="110"/>
      <c r="M654" s="7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7"/>
      <c r="C655" s="7"/>
      <c r="D655" s="2"/>
      <c r="E655" s="24"/>
      <c r="F655" s="24"/>
      <c r="G655" s="24"/>
      <c r="H655" s="7"/>
      <c r="I655" s="7"/>
      <c r="J655" s="14"/>
      <c r="K655" s="14"/>
      <c r="L655" s="110"/>
      <c r="M655" s="7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7"/>
      <c r="C656" s="7"/>
      <c r="D656" s="2"/>
      <c r="E656" s="24"/>
      <c r="F656" s="24"/>
      <c r="G656" s="24"/>
      <c r="H656" s="7"/>
      <c r="I656" s="7"/>
      <c r="J656" s="14"/>
      <c r="K656" s="14"/>
      <c r="L656" s="110"/>
      <c r="M656" s="7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7"/>
      <c r="C657" s="7"/>
      <c r="D657" s="2"/>
      <c r="E657" s="24"/>
      <c r="F657" s="24"/>
      <c r="G657" s="24"/>
      <c r="H657" s="7"/>
      <c r="I657" s="7"/>
      <c r="J657" s="14"/>
      <c r="K657" s="14"/>
      <c r="L657" s="110"/>
      <c r="M657" s="7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7"/>
      <c r="C658" s="7"/>
      <c r="D658" s="2"/>
      <c r="E658" s="24"/>
      <c r="F658" s="24"/>
      <c r="G658" s="24"/>
      <c r="H658" s="7"/>
      <c r="I658" s="7"/>
      <c r="J658" s="14"/>
      <c r="K658" s="14"/>
      <c r="L658" s="110"/>
      <c r="M658" s="7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7"/>
      <c r="C659" s="7"/>
      <c r="D659" s="2"/>
      <c r="E659" s="24"/>
      <c r="F659" s="24"/>
      <c r="G659" s="24"/>
      <c r="H659" s="7"/>
      <c r="I659" s="7"/>
      <c r="J659" s="14"/>
      <c r="K659" s="14"/>
      <c r="L659" s="110"/>
      <c r="M659" s="7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7"/>
      <c r="C660" s="7"/>
      <c r="D660" s="2"/>
      <c r="E660" s="24"/>
      <c r="F660" s="24"/>
      <c r="G660" s="24"/>
      <c r="H660" s="7"/>
      <c r="I660" s="7"/>
      <c r="J660" s="14"/>
      <c r="K660" s="14"/>
      <c r="L660" s="110"/>
      <c r="M660" s="7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7"/>
      <c r="C661" s="7"/>
      <c r="D661" s="2"/>
      <c r="E661" s="24"/>
      <c r="F661" s="24"/>
      <c r="G661" s="24"/>
      <c r="H661" s="7"/>
      <c r="I661" s="7"/>
      <c r="J661" s="14"/>
      <c r="K661" s="14"/>
      <c r="L661" s="110"/>
      <c r="M661" s="7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7"/>
      <c r="C662" s="7"/>
      <c r="D662" s="2"/>
      <c r="E662" s="24"/>
      <c r="F662" s="24"/>
      <c r="G662" s="24"/>
      <c r="H662" s="7"/>
      <c r="I662" s="7"/>
      <c r="J662" s="14"/>
      <c r="K662" s="14"/>
      <c r="L662" s="110"/>
      <c r="M662" s="7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7"/>
      <c r="C663" s="7"/>
      <c r="D663" s="2"/>
      <c r="E663" s="24"/>
      <c r="F663" s="24"/>
      <c r="G663" s="24"/>
      <c r="H663" s="7"/>
      <c r="I663" s="7"/>
      <c r="J663" s="14"/>
      <c r="K663" s="14"/>
      <c r="L663" s="110"/>
      <c r="M663" s="7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7"/>
      <c r="C664" s="7"/>
      <c r="D664" s="2"/>
      <c r="E664" s="24"/>
      <c r="F664" s="24"/>
      <c r="G664" s="24"/>
      <c r="H664" s="7"/>
      <c r="I664" s="7"/>
      <c r="J664" s="14"/>
      <c r="K664" s="14"/>
      <c r="L664" s="110"/>
      <c r="M664" s="7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7"/>
      <c r="C665" s="7"/>
      <c r="D665" s="2"/>
      <c r="E665" s="24"/>
      <c r="F665" s="24"/>
      <c r="G665" s="24"/>
      <c r="H665" s="7"/>
      <c r="I665" s="7"/>
      <c r="J665" s="14"/>
      <c r="K665" s="14"/>
      <c r="L665" s="110"/>
      <c r="M665" s="7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7"/>
      <c r="C666" s="7"/>
      <c r="D666" s="2"/>
      <c r="E666" s="24"/>
      <c r="F666" s="24"/>
      <c r="G666" s="24"/>
      <c r="H666" s="7"/>
      <c r="I666" s="7"/>
      <c r="J666" s="14"/>
      <c r="K666" s="14"/>
      <c r="L666" s="110"/>
      <c r="M666" s="7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7"/>
      <c r="C667" s="7"/>
      <c r="D667" s="2"/>
      <c r="E667" s="24"/>
      <c r="F667" s="24"/>
      <c r="G667" s="24"/>
      <c r="H667" s="7"/>
      <c r="I667" s="7"/>
      <c r="J667" s="14"/>
      <c r="K667" s="14"/>
      <c r="L667" s="110"/>
      <c r="M667" s="7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7"/>
      <c r="C668" s="7"/>
      <c r="D668" s="2"/>
      <c r="E668" s="24"/>
      <c r="F668" s="24"/>
      <c r="G668" s="24"/>
      <c r="H668" s="7"/>
      <c r="I668" s="7"/>
      <c r="J668" s="14"/>
      <c r="K668" s="14"/>
      <c r="L668" s="110"/>
      <c r="M668" s="7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7"/>
      <c r="C669" s="7"/>
      <c r="D669" s="2"/>
      <c r="E669" s="24"/>
      <c r="F669" s="24"/>
      <c r="G669" s="24"/>
      <c r="H669" s="7"/>
      <c r="I669" s="7"/>
      <c r="J669" s="14"/>
      <c r="K669" s="14"/>
      <c r="L669" s="110"/>
      <c r="M669" s="7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7"/>
      <c r="C670" s="7"/>
      <c r="D670" s="2"/>
      <c r="E670" s="24"/>
      <c r="F670" s="24"/>
      <c r="G670" s="24"/>
      <c r="H670" s="7"/>
      <c r="I670" s="7"/>
      <c r="J670" s="14"/>
      <c r="K670" s="14"/>
      <c r="L670" s="110"/>
      <c r="M670" s="7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7"/>
      <c r="C671" s="7"/>
      <c r="D671" s="2"/>
      <c r="E671" s="24"/>
      <c r="F671" s="24"/>
      <c r="G671" s="24"/>
      <c r="H671" s="7"/>
      <c r="I671" s="7"/>
      <c r="J671" s="14"/>
      <c r="K671" s="14"/>
      <c r="L671" s="110"/>
      <c r="M671" s="7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7"/>
      <c r="C672" s="7"/>
      <c r="D672" s="2"/>
      <c r="E672" s="24"/>
      <c r="F672" s="24"/>
      <c r="G672" s="24"/>
      <c r="H672" s="7"/>
      <c r="I672" s="7"/>
      <c r="J672" s="14"/>
      <c r="K672" s="14"/>
      <c r="L672" s="110"/>
      <c r="M672" s="7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7"/>
      <c r="C673" s="7"/>
      <c r="D673" s="2"/>
      <c r="E673" s="24"/>
      <c r="F673" s="24"/>
      <c r="G673" s="24"/>
      <c r="H673" s="7"/>
      <c r="I673" s="7"/>
      <c r="J673" s="14"/>
      <c r="K673" s="14"/>
      <c r="L673" s="110"/>
      <c r="M673" s="7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7"/>
      <c r="C674" s="7"/>
      <c r="D674" s="2"/>
      <c r="E674" s="24"/>
      <c r="F674" s="24"/>
      <c r="G674" s="24"/>
      <c r="H674" s="7"/>
      <c r="I674" s="7"/>
      <c r="J674" s="14"/>
      <c r="K674" s="14"/>
      <c r="L674" s="110"/>
      <c r="M674" s="7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7"/>
      <c r="C675" s="7"/>
      <c r="D675" s="2"/>
      <c r="E675" s="24"/>
      <c r="F675" s="24"/>
      <c r="G675" s="24"/>
      <c r="H675" s="7"/>
      <c r="I675" s="7"/>
      <c r="J675" s="14"/>
      <c r="K675" s="14"/>
      <c r="L675" s="110"/>
      <c r="M675" s="7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7"/>
      <c r="C676" s="7"/>
      <c r="D676" s="2"/>
      <c r="E676" s="24"/>
      <c r="F676" s="24"/>
      <c r="G676" s="24"/>
      <c r="H676" s="7"/>
      <c r="I676" s="7"/>
      <c r="J676" s="14"/>
      <c r="K676" s="14"/>
      <c r="L676" s="110"/>
      <c r="M676" s="7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7"/>
      <c r="C677" s="7"/>
      <c r="D677" s="2"/>
      <c r="E677" s="24"/>
      <c r="F677" s="24"/>
      <c r="G677" s="24"/>
      <c r="H677" s="7"/>
      <c r="I677" s="7"/>
      <c r="J677" s="14"/>
      <c r="K677" s="14"/>
      <c r="L677" s="110"/>
      <c r="M677" s="7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7"/>
      <c r="C678" s="7"/>
      <c r="D678" s="2"/>
      <c r="E678" s="24"/>
      <c r="F678" s="24"/>
      <c r="G678" s="24"/>
      <c r="H678" s="7"/>
      <c r="I678" s="7"/>
      <c r="J678" s="14"/>
      <c r="K678" s="14"/>
      <c r="L678" s="110"/>
      <c r="M678" s="7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7"/>
      <c r="C679" s="7"/>
      <c r="D679" s="2"/>
      <c r="E679" s="24"/>
      <c r="F679" s="24"/>
      <c r="G679" s="24"/>
      <c r="H679" s="7"/>
      <c r="I679" s="7"/>
      <c r="J679" s="14"/>
      <c r="K679" s="14"/>
      <c r="L679" s="110"/>
      <c r="M679" s="7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7"/>
      <c r="C680" s="7"/>
      <c r="D680" s="2"/>
      <c r="E680" s="24"/>
      <c r="F680" s="24"/>
      <c r="G680" s="24"/>
      <c r="H680" s="7"/>
      <c r="I680" s="7"/>
      <c r="J680" s="14"/>
      <c r="K680" s="14"/>
      <c r="L680" s="110"/>
      <c r="M680" s="7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7"/>
      <c r="C681" s="7"/>
      <c r="D681" s="2"/>
      <c r="E681" s="24"/>
      <c r="F681" s="24"/>
      <c r="G681" s="24"/>
      <c r="H681" s="7"/>
      <c r="I681" s="7"/>
      <c r="J681" s="14"/>
      <c r="K681" s="14"/>
      <c r="L681" s="110"/>
      <c r="M681" s="7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7"/>
      <c r="C682" s="7"/>
      <c r="D682" s="2"/>
      <c r="E682" s="24"/>
      <c r="F682" s="24"/>
      <c r="G682" s="24"/>
      <c r="H682" s="7"/>
      <c r="I682" s="7"/>
      <c r="J682" s="14"/>
      <c r="K682" s="14"/>
      <c r="L682" s="110"/>
      <c r="M682" s="7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7"/>
      <c r="C683" s="7"/>
      <c r="D683" s="2"/>
      <c r="E683" s="24"/>
      <c r="F683" s="24"/>
      <c r="G683" s="24"/>
      <c r="H683" s="7"/>
      <c r="I683" s="7"/>
      <c r="J683" s="14"/>
      <c r="K683" s="14"/>
      <c r="L683" s="110"/>
      <c r="M683" s="7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7"/>
      <c r="C684" s="7"/>
      <c r="D684" s="2"/>
      <c r="E684" s="24"/>
      <c r="F684" s="24"/>
      <c r="G684" s="24"/>
      <c r="H684" s="7"/>
      <c r="I684" s="7"/>
      <c r="J684" s="14"/>
      <c r="K684" s="14"/>
      <c r="L684" s="110"/>
      <c r="M684" s="7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7"/>
      <c r="C685" s="7"/>
      <c r="D685" s="2"/>
      <c r="E685" s="24"/>
      <c r="F685" s="24"/>
      <c r="G685" s="24"/>
      <c r="H685" s="7"/>
      <c r="I685" s="7"/>
      <c r="J685" s="14"/>
      <c r="K685" s="14"/>
      <c r="L685" s="110"/>
      <c r="M685" s="7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7"/>
      <c r="C686" s="7"/>
      <c r="D686" s="2"/>
      <c r="E686" s="24"/>
      <c r="F686" s="24"/>
      <c r="G686" s="24"/>
      <c r="H686" s="7"/>
      <c r="I686" s="7"/>
      <c r="J686" s="14"/>
      <c r="K686" s="14"/>
      <c r="L686" s="110"/>
      <c r="M686" s="7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7"/>
      <c r="C687" s="7"/>
      <c r="D687" s="2"/>
      <c r="E687" s="24"/>
      <c r="F687" s="24"/>
      <c r="G687" s="24"/>
      <c r="H687" s="7"/>
      <c r="I687" s="7"/>
      <c r="J687" s="14"/>
      <c r="K687" s="14"/>
      <c r="L687" s="110"/>
      <c r="M687" s="7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7"/>
      <c r="C688" s="7"/>
      <c r="D688" s="2"/>
      <c r="E688" s="24"/>
      <c r="F688" s="24"/>
      <c r="G688" s="24"/>
      <c r="H688" s="7"/>
      <c r="I688" s="7"/>
      <c r="J688" s="14"/>
      <c r="K688" s="14"/>
      <c r="L688" s="110"/>
      <c r="M688" s="7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7"/>
      <c r="C689" s="7"/>
      <c r="D689" s="2"/>
      <c r="E689" s="24"/>
      <c r="F689" s="24"/>
      <c r="G689" s="24"/>
      <c r="H689" s="7"/>
      <c r="I689" s="7"/>
      <c r="J689" s="14"/>
      <c r="K689" s="14"/>
      <c r="L689" s="110"/>
      <c r="M689" s="7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7"/>
      <c r="C690" s="7"/>
      <c r="D690" s="2"/>
      <c r="E690" s="24"/>
      <c r="F690" s="24"/>
      <c r="G690" s="24"/>
      <c r="H690" s="7"/>
      <c r="I690" s="7"/>
      <c r="J690" s="14"/>
      <c r="K690" s="14"/>
      <c r="L690" s="110"/>
      <c r="M690" s="7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7"/>
      <c r="C691" s="7"/>
      <c r="D691" s="2"/>
      <c r="E691" s="24"/>
      <c r="F691" s="24"/>
      <c r="G691" s="24"/>
      <c r="H691" s="7"/>
      <c r="I691" s="7"/>
      <c r="J691" s="14"/>
      <c r="K691" s="14"/>
      <c r="L691" s="110"/>
      <c r="M691" s="7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7"/>
      <c r="C692" s="7"/>
      <c r="D692" s="2"/>
      <c r="E692" s="24"/>
      <c r="F692" s="24"/>
      <c r="G692" s="24"/>
      <c r="H692" s="7"/>
      <c r="I692" s="7"/>
      <c r="J692" s="14"/>
      <c r="K692" s="14"/>
      <c r="L692" s="110"/>
      <c r="M692" s="7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7"/>
      <c r="C693" s="7"/>
      <c r="D693" s="2"/>
      <c r="E693" s="24"/>
      <c r="F693" s="24"/>
      <c r="G693" s="24"/>
      <c r="H693" s="7"/>
      <c r="I693" s="7"/>
      <c r="J693" s="14"/>
      <c r="K693" s="14"/>
      <c r="L693" s="110"/>
      <c r="M693" s="7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7"/>
      <c r="C694" s="7"/>
      <c r="D694" s="2"/>
      <c r="E694" s="24"/>
      <c r="F694" s="24"/>
      <c r="G694" s="24"/>
      <c r="H694" s="7"/>
      <c r="I694" s="7"/>
      <c r="J694" s="14"/>
      <c r="K694" s="14"/>
      <c r="L694" s="110"/>
      <c r="M694" s="7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7"/>
      <c r="C695" s="7"/>
      <c r="D695" s="2"/>
      <c r="E695" s="24"/>
      <c r="F695" s="24"/>
      <c r="G695" s="24"/>
      <c r="H695" s="7"/>
      <c r="I695" s="7"/>
      <c r="J695" s="14"/>
      <c r="K695" s="14"/>
      <c r="L695" s="110"/>
      <c r="M695" s="7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7"/>
      <c r="C696" s="7"/>
      <c r="D696" s="2"/>
      <c r="E696" s="24"/>
      <c r="F696" s="24"/>
      <c r="G696" s="24"/>
      <c r="H696" s="7"/>
      <c r="I696" s="7"/>
      <c r="J696" s="14"/>
      <c r="K696" s="14"/>
      <c r="L696" s="110"/>
      <c r="M696" s="7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7"/>
      <c r="C697" s="7"/>
      <c r="D697" s="2"/>
      <c r="E697" s="24"/>
      <c r="F697" s="24"/>
      <c r="G697" s="24"/>
      <c r="H697" s="7"/>
      <c r="I697" s="7"/>
      <c r="J697" s="14"/>
      <c r="K697" s="14"/>
      <c r="L697" s="110"/>
      <c r="M697" s="7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7"/>
      <c r="C698" s="7"/>
      <c r="D698" s="2"/>
      <c r="E698" s="24"/>
      <c r="F698" s="24"/>
      <c r="G698" s="24"/>
      <c r="H698" s="7"/>
      <c r="I698" s="7"/>
      <c r="J698" s="14"/>
      <c r="K698" s="14"/>
      <c r="L698" s="110"/>
      <c r="M698" s="7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7"/>
      <c r="C699" s="7"/>
      <c r="D699" s="2"/>
      <c r="E699" s="24"/>
      <c r="F699" s="24"/>
      <c r="G699" s="24"/>
      <c r="H699" s="7"/>
      <c r="I699" s="7"/>
      <c r="J699" s="14"/>
      <c r="K699" s="14"/>
      <c r="L699" s="110"/>
      <c r="M699" s="7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7"/>
      <c r="C700" s="7"/>
      <c r="D700" s="2"/>
      <c r="E700" s="24"/>
      <c r="F700" s="24"/>
      <c r="G700" s="24"/>
      <c r="H700" s="7"/>
      <c r="I700" s="7"/>
      <c r="J700" s="14"/>
      <c r="K700" s="14"/>
      <c r="L700" s="110"/>
      <c r="M700" s="7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7"/>
      <c r="C701" s="7"/>
      <c r="D701" s="2"/>
      <c r="E701" s="24"/>
      <c r="F701" s="24"/>
      <c r="G701" s="24"/>
      <c r="H701" s="7"/>
      <c r="I701" s="7"/>
      <c r="J701" s="14"/>
      <c r="K701" s="14"/>
      <c r="L701" s="110"/>
      <c r="M701" s="7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7"/>
      <c r="C702" s="7"/>
      <c r="D702" s="2"/>
      <c r="E702" s="24"/>
      <c r="F702" s="24"/>
      <c r="G702" s="24"/>
      <c r="H702" s="7"/>
      <c r="I702" s="7"/>
      <c r="J702" s="14"/>
      <c r="K702" s="14"/>
      <c r="L702" s="110"/>
      <c r="M702" s="7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7"/>
      <c r="C703" s="7"/>
      <c r="D703" s="2"/>
      <c r="E703" s="24"/>
      <c r="F703" s="24"/>
      <c r="G703" s="24"/>
      <c r="H703" s="7"/>
      <c r="I703" s="7"/>
      <c r="J703" s="14"/>
      <c r="K703" s="14"/>
      <c r="L703" s="110"/>
      <c r="M703" s="7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7"/>
      <c r="C704" s="7"/>
      <c r="D704" s="2"/>
      <c r="E704" s="24"/>
      <c r="F704" s="24"/>
      <c r="G704" s="24"/>
      <c r="H704" s="7"/>
      <c r="I704" s="7"/>
      <c r="J704" s="14"/>
      <c r="K704" s="14"/>
      <c r="L704" s="110"/>
      <c r="M704" s="7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7"/>
      <c r="C705" s="7"/>
      <c r="D705" s="2"/>
      <c r="E705" s="24"/>
      <c r="F705" s="24"/>
      <c r="G705" s="24"/>
      <c r="H705" s="7"/>
      <c r="I705" s="7"/>
      <c r="J705" s="14"/>
      <c r="K705" s="14"/>
      <c r="L705" s="110"/>
      <c r="M705" s="7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7"/>
      <c r="C706" s="7"/>
      <c r="D706" s="2"/>
      <c r="E706" s="24"/>
      <c r="F706" s="24"/>
      <c r="G706" s="24"/>
      <c r="H706" s="7"/>
      <c r="I706" s="7"/>
      <c r="J706" s="14"/>
      <c r="K706" s="14"/>
      <c r="L706" s="110"/>
      <c r="M706" s="7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7"/>
      <c r="C707" s="7"/>
      <c r="D707" s="2"/>
      <c r="E707" s="24"/>
      <c r="F707" s="24"/>
      <c r="G707" s="24"/>
      <c r="H707" s="7"/>
      <c r="I707" s="7"/>
      <c r="J707" s="14"/>
      <c r="K707" s="14"/>
      <c r="L707" s="110"/>
      <c r="M707" s="7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7"/>
      <c r="C708" s="7"/>
      <c r="D708" s="2"/>
      <c r="E708" s="24"/>
      <c r="F708" s="24"/>
      <c r="G708" s="24"/>
      <c r="H708" s="7"/>
      <c r="I708" s="7"/>
      <c r="J708" s="14"/>
      <c r="K708" s="14"/>
      <c r="L708" s="110"/>
      <c r="M708" s="7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7"/>
      <c r="C709" s="7"/>
      <c r="D709" s="2"/>
      <c r="E709" s="24"/>
      <c r="F709" s="24"/>
      <c r="G709" s="24"/>
      <c r="H709" s="7"/>
      <c r="I709" s="7"/>
      <c r="J709" s="14"/>
      <c r="K709" s="14"/>
      <c r="L709" s="110"/>
      <c r="M709" s="7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7"/>
      <c r="C710" s="7"/>
      <c r="D710" s="2"/>
      <c r="E710" s="24"/>
      <c r="F710" s="24"/>
      <c r="G710" s="24"/>
      <c r="H710" s="7"/>
      <c r="I710" s="7"/>
      <c r="J710" s="14"/>
      <c r="K710" s="14"/>
      <c r="L710" s="110"/>
      <c r="M710" s="7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7"/>
      <c r="C711" s="7"/>
      <c r="D711" s="2"/>
      <c r="E711" s="24"/>
      <c r="F711" s="24"/>
      <c r="G711" s="24"/>
      <c r="H711" s="7"/>
      <c r="I711" s="7"/>
      <c r="J711" s="14"/>
      <c r="K711" s="14"/>
      <c r="L711" s="110"/>
      <c r="M711" s="7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7"/>
      <c r="C712" s="7"/>
      <c r="D712" s="2"/>
      <c r="E712" s="24"/>
      <c r="F712" s="24"/>
      <c r="G712" s="24"/>
      <c r="H712" s="7"/>
      <c r="I712" s="7"/>
      <c r="J712" s="14"/>
      <c r="K712" s="14"/>
      <c r="L712" s="110"/>
      <c r="M712" s="7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7"/>
      <c r="C713" s="7"/>
      <c r="D713" s="2"/>
      <c r="E713" s="24"/>
      <c r="F713" s="24"/>
      <c r="G713" s="24"/>
      <c r="H713" s="7"/>
      <c r="I713" s="7"/>
      <c r="J713" s="14"/>
      <c r="K713" s="14"/>
      <c r="L713" s="110"/>
      <c r="M713" s="7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7"/>
      <c r="C714" s="7"/>
      <c r="D714" s="2"/>
      <c r="E714" s="24"/>
      <c r="F714" s="24"/>
      <c r="G714" s="24"/>
      <c r="H714" s="7"/>
      <c r="I714" s="7"/>
      <c r="J714" s="14"/>
      <c r="K714" s="14"/>
      <c r="L714" s="110"/>
      <c r="M714" s="7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7"/>
      <c r="C715" s="7"/>
      <c r="D715" s="2"/>
      <c r="E715" s="24"/>
      <c r="F715" s="24"/>
      <c r="G715" s="24"/>
      <c r="H715" s="7"/>
      <c r="I715" s="7"/>
      <c r="J715" s="14"/>
      <c r="K715" s="14"/>
      <c r="L715" s="110"/>
      <c r="M715" s="7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7"/>
      <c r="C716" s="7"/>
      <c r="D716" s="2"/>
      <c r="E716" s="24"/>
      <c r="F716" s="24"/>
      <c r="G716" s="24"/>
      <c r="H716" s="7"/>
      <c r="I716" s="7"/>
      <c r="J716" s="14"/>
      <c r="K716" s="14"/>
      <c r="L716" s="110"/>
      <c r="M716" s="7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7"/>
      <c r="C717" s="7"/>
      <c r="D717" s="2"/>
      <c r="E717" s="24"/>
      <c r="F717" s="24"/>
      <c r="G717" s="24"/>
      <c r="H717" s="7"/>
      <c r="I717" s="7"/>
      <c r="J717" s="14"/>
      <c r="K717" s="14"/>
      <c r="L717" s="110"/>
      <c r="M717" s="7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7"/>
      <c r="C718" s="7"/>
      <c r="D718" s="2"/>
      <c r="E718" s="24"/>
      <c r="F718" s="24"/>
      <c r="G718" s="24"/>
      <c r="H718" s="7"/>
      <c r="I718" s="7"/>
      <c r="J718" s="14"/>
      <c r="K718" s="14"/>
      <c r="L718" s="110"/>
      <c r="M718" s="7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7"/>
      <c r="C719" s="7"/>
      <c r="D719" s="2"/>
      <c r="E719" s="24"/>
      <c r="F719" s="24"/>
      <c r="G719" s="24"/>
      <c r="H719" s="7"/>
      <c r="I719" s="7"/>
      <c r="J719" s="14"/>
      <c r="K719" s="14"/>
      <c r="L719" s="110"/>
      <c r="M719" s="7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7"/>
      <c r="C720" s="7"/>
      <c r="D720" s="2"/>
      <c r="E720" s="24"/>
      <c r="F720" s="24"/>
      <c r="G720" s="24"/>
      <c r="H720" s="7"/>
      <c r="I720" s="7"/>
      <c r="J720" s="14"/>
      <c r="K720" s="14"/>
      <c r="L720" s="110"/>
      <c r="M720" s="7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7"/>
      <c r="C721" s="7"/>
      <c r="D721" s="2"/>
      <c r="E721" s="24"/>
      <c r="F721" s="24"/>
      <c r="G721" s="24"/>
      <c r="H721" s="7"/>
      <c r="I721" s="7"/>
      <c r="J721" s="14"/>
      <c r="K721" s="14"/>
      <c r="L721" s="110"/>
      <c r="M721" s="7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7"/>
      <c r="C722" s="7"/>
      <c r="D722" s="2"/>
      <c r="E722" s="24"/>
      <c r="F722" s="24"/>
      <c r="G722" s="24"/>
      <c r="H722" s="7"/>
      <c r="I722" s="7"/>
      <c r="J722" s="14"/>
      <c r="K722" s="14"/>
      <c r="L722" s="110"/>
      <c r="M722" s="7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7"/>
      <c r="C723" s="7"/>
      <c r="D723" s="2"/>
      <c r="E723" s="24"/>
      <c r="F723" s="24"/>
      <c r="G723" s="24"/>
      <c r="H723" s="7"/>
      <c r="I723" s="7"/>
      <c r="J723" s="14"/>
      <c r="K723" s="14"/>
      <c r="L723" s="110"/>
      <c r="M723" s="7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7"/>
      <c r="C724" s="7"/>
      <c r="D724" s="2"/>
      <c r="E724" s="24"/>
      <c r="F724" s="24"/>
      <c r="G724" s="24"/>
      <c r="H724" s="7"/>
      <c r="I724" s="7"/>
      <c r="J724" s="14"/>
      <c r="K724" s="14"/>
      <c r="L724" s="110"/>
      <c r="M724" s="7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7"/>
      <c r="C725" s="7"/>
      <c r="D725" s="2"/>
      <c r="E725" s="24"/>
      <c r="F725" s="24"/>
      <c r="G725" s="24"/>
      <c r="H725" s="7"/>
      <c r="I725" s="7"/>
      <c r="J725" s="14"/>
      <c r="K725" s="14"/>
      <c r="L725" s="110"/>
      <c r="M725" s="7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7"/>
      <c r="C726" s="7"/>
      <c r="D726" s="2"/>
      <c r="E726" s="24"/>
      <c r="F726" s="24"/>
      <c r="G726" s="24"/>
      <c r="H726" s="7"/>
      <c r="I726" s="7"/>
      <c r="J726" s="14"/>
      <c r="K726" s="14"/>
      <c r="L726" s="110"/>
      <c r="M726" s="7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7"/>
      <c r="C727" s="7"/>
      <c r="D727" s="2"/>
      <c r="E727" s="24"/>
      <c r="F727" s="24"/>
      <c r="G727" s="24"/>
      <c r="H727" s="7"/>
      <c r="I727" s="7"/>
      <c r="J727" s="14"/>
      <c r="K727" s="14"/>
      <c r="L727" s="110"/>
      <c r="M727" s="7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7"/>
      <c r="C728" s="7"/>
      <c r="D728" s="2"/>
      <c r="E728" s="24"/>
      <c r="F728" s="24"/>
      <c r="G728" s="24"/>
      <c r="H728" s="7"/>
      <c r="I728" s="7"/>
      <c r="J728" s="14"/>
      <c r="K728" s="14"/>
      <c r="L728" s="110"/>
      <c r="M728" s="7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7"/>
      <c r="C729" s="7"/>
      <c r="D729" s="2"/>
      <c r="E729" s="24"/>
      <c r="F729" s="24"/>
      <c r="G729" s="24"/>
      <c r="H729" s="7"/>
      <c r="I729" s="7"/>
      <c r="J729" s="14"/>
      <c r="K729" s="14"/>
      <c r="L729" s="110"/>
      <c r="M729" s="7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7"/>
      <c r="C730" s="7"/>
      <c r="D730" s="2"/>
      <c r="E730" s="24"/>
      <c r="F730" s="24"/>
      <c r="G730" s="24"/>
      <c r="H730" s="7"/>
      <c r="I730" s="7"/>
      <c r="J730" s="14"/>
      <c r="K730" s="14"/>
      <c r="L730" s="110"/>
      <c r="M730" s="7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7"/>
      <c r="C731" s="7"/>
      <c r="D731" s="2"/>
      <c r="E731" s="24"/>
      <c r="F731" s="24"/>
      <c r="G731" s="24"/>
      <c r="H731" s="7"/>
      <c r="I731" s="7"/>
      <c r="J731" s="14"/>
      <c r="K731" s="14"/>
      <c r="L731" s="110"/>
      <c r="M731" s="7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7"/>
      <c r="C732" s="7"/>
      <c r="D732" s="2"/>
      <c r="E732" s="24"/>
      <c r="F732" s="24"/>
      <c r="G732" s="24"/>
      <c r="H732" s="7"/>
      <c r="I732" s="7"/>
      <c r="J732" s="14"/>
      <c r="K732" s="14"/>
      <c r="L732" s="110"/>
      <c r="M732" s="7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7"/>
      <c r="C733" s="7"/>
      <c r="D733" s="2"/>
      <c r="E733" s="24"/>
      <c r="F733" s="24"/>
      <c r="G733" s="24"/>
      <c r="H733" s="7"/>
      <c r="I733" s="7"/>
      <c r="J733" s="14"/>
      <c r="K733" s="14"/>
      <c r="L733" s="110"/>
      <c r="M733" s="7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7"/>
      <c r="C734" s="7"/>
      <c r="D734" s="2"/>
      <c r="E734" s="24"/>
      <c r="F734" s="24"/>
      <c r="G734" s="24"/>
      <c r="H734" s="7"/>
      <c r="I734" s="7"/>
      <c r="J734" s="14"/>
      <c r="K734" s="14"/>
      <c r="L734" s="110"/>
      <c r="M734" s="7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7"/>
      <c r="C735" s="7"/>
      <c r="D735" s="2"/>
      <c r="E735" s="24"/>
      <c r="F735" s="24"/>
      <c r="G735" s="24"/>
      <c r="H735" s="7"/>
      <c r="I735" s="7"/>
      <c r="J735" s="14"/>
      <c r="K735" s="14"/>
      <c r="L735" s="110"/>
      <c r="M735" s="7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7"/>
      <c r="C736" s="7"/>
      <c r="D736" s="2"/>
      <c r="E736" s="24"/>
      <c r="F736" s="24"/>
      <c r="G736" s="24"/>
      <c r="H736" s="7"/>
      <c r="I736" s="7"/>
      <c r="J736" s="14"/>
      <c r="K736" s="14"/>
      <c r="L736" s="110"/>
      <c r="M736" s="7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7"/>
      <c r="C737" s="7"/>
      <c r="D737" s="2"/>
      <c r="E737" s="24"/>
      <c r="F737" s="24"/>
      <c r="G737" s="24"/>
      <c r="H737" s="7"/>
      <c r="I737" s="7"/>
      <c r="J737" s="14"/>
      <c r="K737" s="14"/>
      <c r="L737" s="110"/>
      <c r="M737" s="7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7"/>
      <c r="C738" s="7"/>
      <c r="D738" s="2"/>
      <c r="E738" s="24"/>
      <c r="F738" s="24"/>
      <c r="G738" s="24"/>
      <c r="H738" s="7"/>
      <c r="I738" s="7"/>
      <c r="J738" s="14"/>
      <c r="K738" s="14"/>
      <c r="L738" s="110"/>
      <c r="M738" s="7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7"/>
      <c r="C739" s="7"/>
      <c r="D739" s="2"/>
      <c r="E739" s="24"/>
      <c r="F739" s="24"/>
      <c r="G739" s="24"/>
      <c r="H739" s="7"/>
      <c r="I739" s="7"/>
      <c r="J739" s="14"/>
      <c r="K739" s="14"/>
      <c r="L739" s="110"/>
      <c r="M739" s="7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7"/>
      <c r="C740" s="7"/>
      <c r="D740" s="2"/>
      <c r="E740" s="24"/>
      <c r="F740" s="24"/>
      <c r="G740" s="24"/>
      <c r="H740" s="7"/>
      <c r="I740" s="7"/>
      <c r="J740" s="14"/>
      <c r="K740" s="14"/>
      <c r="L740" s="110"/>
      <c r="M740" s="7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7"/>
      <c r="C741" s="7"/>
      <c r="D741" s="2"/>
      <c r="E741" s="24"/>
      <c r="F741" s="24"/>
      <c r="G741" s="24"/>
      <c r="H741" s="7"/>
      <c r="I741" s="7"/>
      <c r="J741" s="14"/>
      <c r="K741" s="14"/>
      <c r="L741" s="110"/>
      <c r="M741" s="7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7"/>
      <c r="C742" s="7"/>
      <c r="D742" s="2"/>
      <c r="E742" s="24"/>
      <c r="F742" s="24"/>
      <c r="G742" s="24"/>
      <c r="H742" s="7"/>
      <c r="I742" s="7"/>
      <c r="J742" s="14"/>
      <c r="K742" s="14"/>
      <c r="L742" s="110"/>
      <c r="M742" s="7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7"/>
      <c r="C743" s="7"/>
      <c r="D743" s="2"/>
      <c r="E743" s="24"/>
      <c r="F743" s="24"/>
      <c r="G743" s="24"/>
      <c r="H743" s="7"/>
      <c r="I743" s="7"/>
      <c r="J743" s="14"/>
      <c r="K743" s="14"/>
      <c r="L743" s="110"/>
      <c r="M743" s="7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7"/>
      <c r="C744" s="7"/>
      <c r="D744" s="2"/>
      <c r="E744" s="24"/>
      <c r="F744" s="24"/>
      <c r="G744" s="24"/>
      <c r="H744" s="7"/>
      <c r="I744" s="7"/>
      <c r="J744" s="14"/>
      <c r="K744" s="14"/>
      <c r="L744" s="110"/>
      <c r="M744" s="7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7"/>
      <c r="C745" s="7"/>
      <c r="D745" s="2"/>
      <c r="E745" s="24"/>
      <c r="F745" s="24"/>
      <c r="G745" s="24"/>
      <c r="H745" s="7"/>
      <c r="I745" s="7"/>
      <c r="J745" s="14"/>
      <c r="K745" s="14"/>
      <c r="L745" s="110"/>
      <c r="M745" s="7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7"/>
      <c r="C746" s="7"/>
      <c r="D746" s="2"/>
      <c r="E746" s="24"/>
      <c r="F746" s="24"/>
      <c r="G746" s="24"/>
      <c r="H746" s="7"/>
      <c r="I746" s="7"/>
      <c r="J746" s="14"/>
      <c r="K746" s="14"/>
      <c r="L746" s="110"/>
      <c r="M746" s="7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7"/>
      <c r="C747" s="7"/>
      <c r="D747" s="2"/>
      <c r="E747" s="24"/>
      <c r="F747" s="24"/>
      <c r="G747" s="24"/>
      <c r="H747" s="7"/>
      <c r="I747" s="7"/>
      <c r="J747" s="14"/>
      <c r="K747" s="14"/>
      <c r="L747" s="110"/>
      <c r="M747" s="7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7"/>
      <c r="C748" s="7"/>
      <c r="D748" s="2"/>
      <c r="E748" s="24"/>
      <c r="F748" s="24"/>
      <c r="G748" s="24"/>
      <c r="H748" s="7"/>
      <c r="I748" s="7"/>
      <c r="J748" s="14"/>
      <c r="K748" s="14"/>
      <c r="L748" s="110"/>
      <c r="M748" s="7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7"/>
      <c r="C749" s="7"/>
      <c r="D749" s="2"/>
      <c r="E749" s="24"/>
      <c r="F749" s="24"/>
      <c r="G749" s="24"/>
      <c r="H749" s="7"/>
      <c r="I749" s="7"/>
      <c r="J749" s="14"/>
      <c r="K749" s="14"/>
      <c r="L749" s="110"/>
      <c r="M749" s="7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7"/>
      <c r="C750" s="7"/>
      <c r="D750" s="2"/>
      <c r="E750" s="24"/>
      <c r="F750" s="24"/>
      <c r="G750" s="24"/>
      <c r="H750" s="7"/>
      <c r="I750" s="7"/>
      <c r="J750" s="14"/>
      <c r="K750" s="14"/>
      <c r="L750" s="110"/>
      <c r="M750" s="7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7"/>
      <c r="C751" s="7"/>
      <c r="D751" s="2"/>
      <c r="E751" s="24"/>
      <c r="F751" s="24"/>
      <c r="G751" s="24"/>
      <c r="H751" s="7"/>
      <c r="I751" s="7"/>
      <c r="J751" s="14"/>
      <c r="K751" s="14"/>
      <c r="L751" s="110"/>
      <c r="M751" s="7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7"/>
      <c r="C752" s="7"/>
      <c r="D752" s="2"/>
      <c r="E752" s="24"/>
      <c r="F752" s="24"/>
      <c r="G752" s="24"/>
      <c r="H752" s="7"/>
      <c r="I752" s="7"/>
      <c r="J752" s="14"/>
      <c r="K752" s="14"/>
      <c r="L752" s="110"/>
      <c r="M752" s="7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7"/>
      <c r="C753" s="7"/>
      <c r="D753" s="2"/>
      <c r="E753" s="24"/>
      <c r="F753" s="24"/>
      <c r="G753" s="24"/>
      <c r="H753" s="7"/>
      <c r="I753" s="7"/>
      <c r="J753" s="14"/>
      <c r="K753" s="14"/>
      <c r="L753" s="110"/>
      <c r="M753" s="7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7"/>
      <c r="C754" s="7"/>
      <c r="D754" s="2"/>
      <c r="E754" s="24"/>
      <c r="F754" s="24"/>
      <c r="G754" s="24"/>
      <c r="H754" s="7"/>
      <c r="I754" s="7"/>
      <c r="J754" s="14"/>
      <c r="K754" s="14"/>
      <c r="L754" s="110"/>
      <c r="M754" s="7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7"/>
      <c r="C755" s="7"/>
      <c r="D755" s="2"/>
      <c r="E755" s="24"/>
      <c r="F755" s="24"/>
      <c r="G755" s="24"/>
      <c r="H755" s="7"/>
      <c r="I755" s="7"/>
      <c r="J755" s="14"/>
      <c r="K755" s="14"/>
      <c r="L755" s="110"/>
      <c r="M755" s="7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7"/>
      <c r="C756" s="7"/>
      <c r="D756" s="2"/>
      <c r="E756" s="24"/>
      <c r="F756" s="24"/>
      <c r="G756" s="24"/>
      <c r="H756" s="7"/>
      <c r="I756" s="7"/>
      <c r="J756" s="14"/>
      <c r="K756" s="14"/>
      <c r="L756" s="110"/>
      <c r="M756" s="7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7"/>
      <c r="C757" s="7"/>
      <c r="D757" s="2"/>
      <c r="E757" s="24"/>
      <c r="F757" s="24"/>
      <c r="G757" s="24"/>
      <c r="H757" s="7"/>
      <c r="I757" s="7"/>
      <c r="J757" s="14"/>
      <c r="K757" s="14"/>
      <c r="L757" s="110"/>
      <c r="M757" s="7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7"/>
      <c r="C758" s="7"/>
      <c r="D758" s="2"/>
      <c r="E758" s="24"/>
      <c r="F758" s="24"/>
      <c r="G758" s="24"/>
      <c r="H758" s="7"/>
      <c r="I758" s="7"/>
      <c r="J758" s="14"/>
      <c r="K758" s="14"/>
      <c r="L758" s="110"/>
      <c r="M758" s="7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7"/>
      <c r="C759" s="7"/>
      <c r="D759" s="2"/>
      <c r="E759" s="24"/>
      <c r="F759" s="24"/>
      <c r="G759" s="24"/>
      <c r="H759" s="7"/>
      <c r="I759" s="7"/>
      <c r="J759" s="14"/>
      <c r="K759" s="14"/>
      <c r="L759" s="110"/>
      <c r="M759" s="7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7"/>
      <c r="C760" s="7"/>
      <c r="D760" s="2"/>
      <c r="E760" s="24"/>
      <c r="F760" s="24"/>
      <c r="G760" s="24"/>
      <c r="H760" s="7"/>
      <c r="I760" s="7"/>
      <c r="J760" s="14"/>
      <c r="K760" s="14"/>
      <c r="L760" s="110"/>
      <c r="M760" s="7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7"/>
      <c r="C761" s="7"/>
      <c r="D761" s="2"/>
      <c r="E761" s="24"/>
      <c r="F761" s="24"/>
      <c r="G761" s="24"/>
      <c r="H761" s="7"/>
      <c r="I761" s="7"/>
      <c r="J761" s="14"/>
      <c r="K761" s="14"/>
      <c r="L761" s="110"/>
      <c r="M761" s="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7"/>
      <c r="C762" s="7"/>
      <c r="D762" s="2"/>
      <c r="E762" s="24"/>
      <c r="F762" s="24"/>
      <c r="G762" s="24"/>
      <c r="H762" s="7"/>
      <c r="I762" s="7"/>
      <c r="J762" s="14"/>
      <c r="K762" s="14"/>
      <c r="L762" s="110"/>
      <c r="M762" s="7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7"/>
      <c r="C763" s="7"/>
      <c r="D763" s="2"/>
      <c r="E763" s="24"/>
      <c r="F763" s="24"/>
      <c r="G763" s="24"/>
      <c r="H763" s="7"/>
      <c r="I763" s="7"/>
      <c r="J763" s="14"/>
      <c r="K763" s="14"/>
      <c r="L763" s="110"/>
      <c r="M763" s="7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7"/>
      <c r="C764" s="7"/>
      <c r="D764" s="2"/>
      <c r="E764" s="24"/>
      <c r="F764" s="24"/>
      <c r="G764" s="24"/>
      <c r="H764" s="7"/>
      <c r="I764" s="7"/>
      <c r="J764" s="14"/>
      <c r="K764" s="14"/>
      <c r="L764" s="110"/>
      <c r="M764" s="7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7"/>
      <c r="C765" s="7"/>
      <c r="D765" s="2"/>
      <c r="E765" s="24"/>
      <c r="F765" s="24"/>
      <c r="G765" s="24"/>
      <c r="H765" s="7"/>
      <c r="I765" s="7"/>
      <c r="J765" s="14"/>
      <c r="K765" s="14"/>
      <c r="L765" s="110"/>
      <c r="M765" s="7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7"/>
      <c r="C766" s="7"/>
      <c r="D766" s="2"/>
      <c r="E766" s="24"/>
      <c r="F766" s="24"/>
      <c r="G766" s="24"/>
      <c r="H766" s="7"/>
      <c r="I766" s="7"/>
      <c r="J766" s="14"/>
      <c r="K766" s="14"/>
      <c r="L766" s="110"/>
      <c r="M766" s="7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7"/>
      <c r="C767" s="7"/>
      <c r="D767" s="2"/>
      <c r="E767" s="24"/>
      <c r="F767" s="24"/>
      <c r="G767" s="24"/>
      <c r="H767" s="7"/>
      <c r="I767" s="7"/>
      <c r="J767" s="14"/>
      <c r="K767" s="14"/>
      <c r="L767" s="110"/>
      <c r="M767" s="7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7"/>
      <c r="C768" s="7"/>
      <c r="D768" s="2"/>
      <c r="E768" s="24"/>
      <c r="F768" s="24"/>
      <c r="G768" s="24"/>
      <c r="H768" s="7"/>
      <c r="I768" s="7"/>
      <c r="J768" s="14"/>
      <c r="K768" s="14"/>
      <c r="L768" s="110"/>
      <c r="M768" s="7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7"/>
      <c r="C769" s="7"/>
      <c r="D769" s="2"/>
      <c r="E769" s="24"/>
      <c r="F769" s="24"/>
      <c r="G769" s="24"/>
      <c r="H769" s="7"/>
      <c r="I769" s="7"/>
      <c r="J769" s="14"/>
      <c r="K769" s="14"/>
      <c r="L769" s="110"/>
      <c r="M769" s="7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7"/>
      <c r="C770" s="7"/>
      <c r="D770" s="2"/>
      <c r="E770" s="24"/>
      <c r="F770" s="24"/>
      <c r="G770" s="24"/>
      <c r="H770" s="7"/>
      <c r="I770" s="7"/>
      <c r="J770" s="14"/>
      <c r="K770" s="14"/>
      <c r="L770" s="110"/>
      <c r="M770" s="7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7"/>
      <c r="C771" s="7"/>
      <c r="D771" s="2"/>
      <c r="E771" s="24"/>
      <c r="F771" s="24"/>
      <c r="G771" s="24"/>
      <c r="H771" s="7"/>
      <c r="I771" s="7"/>
      <c r="J771" s="14"/>
      <c r="K771" s="14"/>
      <c r="L771" s="110"/>
      <c r="M771" s="7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7"/>
      <c r="C772" s="7"/>
      <c r="D772" s="2"/>
      <c r="E772" s="24"/>
      <c r="F772" s="24"/>
      <c r="G772" s="24"/>
      <c r="H772" s="7"/>
      <c r="I772" s="7"/>
      <c r="J772" s="14"/>
      <c r="K772" s="14"/>
      <c r="L772" s="110"/>
      <c r="M772" s="7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7"/>
      <c r="C773" s="7"/>
      <c r="D773" s="2"/>
      <c r="E773" s="24"/>
      <c r="F773" s="24"/>
      <c r="G773" s="24"/>
      <c r="H773" s="7"/>
      <c r="I773" s="7"/>
      <c r="J773" s="14"/>
      <c r="K773" s="14"/>
      <c r="L773" s="110"/>
      <c r="M773" s="7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7"/>
      <c r="C774" s="7"/>
      <c r="D774" s="2"/>
      <c r="E774" s="24"/>
      <c r="F774" s="24"/>
      <c r="G774" s="24"/>
      <c r="H774" s="7"/>
      <c r="I774" s="7"/>
      <c r="J774" s="14"/>
      <c r="K774" s="14"/>
      <c r="L774" s="110"/>
      <c r="M774" s="7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7"/>
      <c r="C775" s="7"/>
      <c r="D775" s="2"/>
      <c r="E775" s="24"/>
      <c r="F775" s="24"/>
      <c r="G775" s="24"/>
      <c r="H775" s="7"/>
      <c r="I775" s="7"/>
      <c r="J775" s="14"/>
      <c r="K775" s="14"/>
      <c r="L775" s="110"/>
      <c r="M775" s="7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7"/>
      <c r="C776" s="7"/>
      <c r="D776" s="2"/>
      <c r="E776" s="24"/>
      <c r="F776" s="24"/>
      <c r="G776" s="24"/>
      <c r="H776" s="7"/>
      <c r="I776" s="7"/>
      <c r="J776" s="14"/>
      <c r="K776" s="14"/>
      <c r="L776" s="110"/>
      <c r="M776" s="7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7"/>
      <c r="C777" s="7"/>
      <c r="D777" s="2"/>
      <c r="E777" s="24"/>
      <c r="F777" s="24"/>
      <c r="G777" s="24"/>
      <c r="H777" s="7"/>
      <c r="I777" s="7"/>
      <c r="J777" s="14"/>
      <c r="K777" s="14"/>
      <c r="L777" s="110"/>
      <c r="M777" s="7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7"/>
      <c r="C778" s="7"/>
      <c r="D778" s="2"/>
      <c r="E778" s="24"/>
      <c r="F778" s="24"/>
      <c r="G778" s="24"/>
      <c r="H778" s="7"/>
      <c r="I778" s="7"/>
      <c r="J778" s="14"/>
      <c r="K778" s="14"/>
      <c r="L778" s="110"/>
      <c r="M778" s="7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7"/>
      <c r="C779" s="7"/>
      <c r="D779" s="2"/>
      <c r="E779" s="24"/>
      <c r="F779" s="24"/>
      <c r="G779" s="24"/>
      <c r="H779" s="7"/>
      <c r="I779" s="7"/>
      <c r="J779" s="14"/>
      <c r="K779" s="14"/>
      <c r="L779" s="110"/>
      <c r="M779" s="7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7"/>
      <c r="C780" s="7"/>
      <c r="D780" s="2"/>
      <c r="E780" s="24"/>
      <c r="F780" s="24"/>
      <c r="G780" s="24"/>
      <c r="H780" s="7"/>
      <c r="I780" s="7"/>
      <c r="J780" s="14"/>
      <c r="K780" s="14"/>
      <c r="L780" s="110"/>
      <c r="M780" s="7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7"/>
      <c r="C781" s="7"/>
      <c r="D781" s="2"/>
      <c r="E781" s="24"/>
      <c r="F781" s="24"/>
      <c r="G781" s="24"/>
      <c r="H781" s="7"/>
      <c r="I781" s="7"/>
      <c r="J781" s="14"/>
      <c r="K781" s="14"/>
      <c r="L781" s="110"/>
      <c r="M781" s="7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7"/>
      <c r="C782" s="7"/>
      <c r="D782" s="2"/>
      <c r="E782" s="24"/>
      <c r="F782" s="24"/>
      <c r="G782" s="24"/>
      <c r="H782" s="7"/>
      <c r="I782" s="7"/>
      <c r="J782" s="14"/>
      <c r="K782" s="14"/>
      <c r="L782" s="110"/>
      <c r="M782" s="7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7"/>
      <c r="C783" s="7"/>
      <c r="D783" s="2"/>
      <c r="E783" s="24"/>
      <c r="F783" s="24"/>
      <c r="G783" s="24"/>
      <c r="H783" s="7"/>
      <c r="I783" s="7"/>
      <c r="J783" s="14"/>
      <c r="K783" s="14"/>
      <c r="L783" s="110"/>
      <c r="M783" s="7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7"/>
      <c r="C784" s="7"/>
      <c r="D784" s="2"/>
      <c r="E784" s="24"/>
      <c r="F784" s="24"/>
      <c r="G784" s="24"/>
      <c r="H784" s="7"/>
      <c r="I784" s="7"/>
      <c r="J784" s="14"/>
      <c r="K784" s="14"/>
      <c r="L784" s="110"/>
      <c r="M784" s="7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7"/>
      <c r="C785" s="7"/>
      <c r="D785" s="2"/>
      <c r="E785" s="24"/>
      <c r="F785" s="24"/>
      <c r="G785" s="24"/>
      <c r="H785" s="7"/>
      <c r="I785" s="7"/>
      <c r="J785" s="14"/>
      <c r="K785" s="14"/>
      <c r="L785" s="110"/>
      <c r="M785" s="7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7"/>
      <c r="C786" s="7"/>
      <c r="D786" s="2"/>
      <c r="E786" s="24"/>
      <c r="F786" s="24"/>
      <c r="G786" s="24"/>
      <c r="H786" s="7"/>
      <c r="I786" s="7"/>
      <c r="J786" s="14"/>
      <c r="K786" s="14"/>
      <c r="L786" s="110"/>
      <c r="M786" s="7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7"/>
      <c r="C787" s="7"/>
      <c r="D787" s="2"/>
      <c r="E787" s="24"/>
      <c r="F787" s="24"/>
      <c r="G787" s="24"/>
      <c r="H787" s="7"/>
      <c r="I787" s="7"/>
      <c r="J787" s="14"/>
      <c r="K787" s="14"/>
      <c r="L787" s="110"/>
      <c r="M787" s="7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7"/>
      <c r="C788" s="7"/>
      <c r="D788" s="2"/>
      <c r="E788" s="24"/>
      <c r="F788" s="24"/>
      <c r="G788" s="24"/>
      <c r="H788" s="7"/>
      <c r="I788" s="7"/>
      <c r="J788" s="14"/>
      <c r="K788" s="14"/>
      <c r="L788" s="110"/>
      <c r="M788" s="7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7"/>
      <c r="C789" s="7"/>
      <c r="D789" s="2"/>
      <c r="E789" s="24"/>
      <c r="F789" s="24"/>
      <c r="G789" s="24"/>
      <c r="H789" s="7"/>
      <c r="I789" s="7"/>
      <c r="J789" s="14"/>
      <c r="K789" s="14"/>
      <c r="L789" s="110"/>
      <c r="M789" s="7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7"/>
      <c r="C790" s="7"/>
      <c r="D790" s="2"/>
      <c r="E790" s="24"/>
      <c r="F790" s="24"/>
      <c r="G790" s="24"/>
      <c r="H790" s="7"/>
      <c r="I790" s="7"/>
      <c r="J790" s="14"/>
      <c r="K790" s="14"/>
      <c r="L790" s="110"/>
      <c r="M790" s="7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7"/>
      <c r="C791" s="7"/>
      <c r="D791" s="2"/>
      <c r="E791" s="24"/>
      <c r="F791" s="24"/>
      <c r="G791" s="24"/>
      <c r="H791" s="7"/>
      <c r="I791" s="7"/>
      <c r="J791" s="14"/>
      <c r="K791" s="14"/>
      <c r="L791" s="110"/>
      <c r="M791" s="7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7"/>
      <c r="C792" s="7"/>
      <c r="D792" s="2"/>
      <c r="E792" s="24"/>
      <c r="F792" s="24"/>
      <c r="G792" s="24"/>
      <c r="H792" s="7"/>
      <c r="I792" s="7"/>
      <c r="J792" s="14"/>
      <c r="K792" s="14"/>
      <c r="L792" s="110"/>
      <c r="M792" s="7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7"/>
      <c r="C793" s="7"/>
      <c r="D793" s="2"/>
      <c r="E793" s="24"/>
      <c r="F793" s="24"/>
      <c r="G793" s="24"/>
      <c r="H793" s="7"/>
      <c r="I793" s="7"/>
      <c r="J793" s="14"/>
      <c r="K793" s="14"/>
      <c r="L793" s="110"/>
      <c r="M793" s="7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7"/>
      <c r="C794" s="7"/>
      <c r="D794" s="2"/>
      <c r="E794" s="24"/>
      <c r="F794" s="24"/>
      <c r="G794" s="24"/>
      <c r="H794" s="7"/>
      <c r="I794" s="7"/>
      <c r="J794" s="14"/>
      <c r="K794" s="14"/>
      <c r="L794" s="110"/>
      <c r="M794" s="7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7"/>
      <c r="C795" s="7"/>
      <c r="D795" s="2"/>
      <c r="E795" s="24"/>
      <c r="F795" s="24"/>
      <c r="G795" s="24"/>
      <c r="H795" s="7"/>
      <c r="I795" s="7"/>
      <c r="J795" s="14"/>
      <c r="K795" s="14"/>
      <c r="L795" s="110"/>
      <c r="M795" s="7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7"/>
      <c r="C796" s="7"/>
      <c r="D796" s="2"/>
      <c r="E796" s="24"/>
      <c r="F796" s="24"/>
      <c r="G796" s="24"/>
      <c r="H796" s="7"/>
      <c r="I796" s="7"/>
      <c r="J796" s="14"/>
      <c r="K796" s="14"/>
      <c r="L796" s="110"/>
      <c r="M796" s="7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7"/>
      <c r="C797" s="7"/>
      <c r="D797" s="2"/>
      <c r="E797" s="24"/>
      <c r="F797" s="24"/>
      <c r="G797" s="24"/>
      <c r="H797" s="7"/>
      <c r="I797" s="7"/>
      <c r="J797" s="14"/>
      <c r="K797" s="14"/>
      <c r="L797" s="110"/>
      <c r="M797" s="7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7"/>
      <c r="C798" s="7"/>
      <c r="D798" s="2"/>
      <c r="E798" s="24"/>
      <c r="F798" s="24"/>
      <c r="G798" s="24"/>
      <c r="H798" s="7"/>
      <c r="I798" s="7"/>
      <c r="J798" s="14"/>
      <c r="K798" s="14"/>
      <c r="L798" s="110"/>
      <c r="M798" s="7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7"/>
      <c r="C799" s="7"/>
      <c r="D799" s="2"/>
      <c r="E799" s="24"/>
      <c r="F799" s="24"/>
      <c r="G799" s="24"/>
      <c r="H799" s="7"/>
      <c r="I799" s="7"/>
      <c r="J799" s="14"/>
      <c r="K799" s="14"/>
      <c r="L799" s="110"/>
      <c r="M799" s="7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7"/>
      <c r="C800" s="7"/>
      <c r="D800" s="2"/>
      <c r="E800" s="24"/>
      <c r="F800" s="24"/>
      <c r="G800" s="24"/>
      <c r="H800" s="7"/>
      <c r="I800" s="7"/>
      <c r="J800" s="14"/>
      <c r="K800" s="14"/>
      <c r="L800" s="110"/>
      <c r="M800" s="7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7"/>
      <c r="C801" s="7"/>
      <c r="D801" s="2"/>
      <c r="E801" s="24"/>
      <c r="F801" s="24"/>
      <c r="G801" s="24"/>
      <c r="H801" s="7"/>
      <c r="I801" s="7"/>
      <c r="J801" s="14"/>
      <c r="K801" s="14"/>
      <c r="L801" s="110"/>
      <c r="M801" s="7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7"/>
      <c r="C802" s="7"/>
      <c r="D802" s="2"/>
      <c r="E802" s="24"/>
      <c r="F802" s="24"/>
      <c r="G802" s="24"/>
      <c r="H802" s="7"/>
      <c r="I802" s="7"/>
      <c r="J802" s="14"/>
      <c r="K802" s="14"/>
      <c r="L802" s="110"/>
      <c r="M802" s="7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7"/>
      <c r="C803" s="7"/>
      <c r="D803" s="2"/>
      <c r="E803" s="24"/>
      <c r="F803" s="24"/>
      <c r="G803" s="24"/>
      <c r="H803" s="7"/>
      <c r="I803" s="7"/>
      <c r="J803" s="14"/>
      <c r="K803" s="14"/>
      <c r="L803" s="110"/>
      <c r="M803" s="7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7"/>
      <c r="C804" s="7"/>
      <c r="D804" s="2"/>
      <c r="E804" s="24"/>
      <c r="F804" s="24"/>
      <c r="G804" s="24"/>
      <c r="H804" s="7"/>
      <c r="I804" s="7"/>
      <c r="J804" s="14"/>
      <c r="K804" s="14"/>
      <c r="L804" s="110"/>
      <c r="M804" s="7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7"/>
      <c r="C805" s="7"/>
      <c r="D805" s="2"/>
      <c r="E805" s="24"/>
      <c r="F805" s="24"/>
      <c r="G805" s="24"/>
      <c r="H805" s="7"/>
      <c r="I805" s="7"/>
      <c r="J805" s="14"/>
      <c r="K805" s="14"/>
      <c r="L805" s="110"/>
      <c r="M805" s="7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7"/>
      <c r="C806" s="7"/>
      <c r="D806" s="2"/>
      <c r="E806" s="24"/>
      <c r="F806" s="24"/>
      <c r="G806" s="24"/>
      <c r="H806" s="7"/>
      <c r="I806" s="7"/>
      <c r="J806" s="14"/>
      <c r="K806" s="14"/>
      <c r="L806" s="110"/>
      <c r="M806" s="7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7"/>
      <c r="C807" s="7"/>
      <c r="D807" s="2"/>
      <c r="E807" s="24"/>
      <c r="F807" s="24"/>
      <c r="G807" s="24"/>
      <c r="H807" s="7"/>
      <c r="I807" s="7"/>
      <c r="J807" s="14"/>
      <c r="K807" s="14"/>
      <c r="L807" s="110"/>
      <c r="M807" s="7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7"/>
      <c r="C808" s="7"/>
      <c r="D808" s="2"/>
      <c r="E808" s="24"/>
      <c r="F808" s="24"/>
      <c r="G808" s="24"/>
      <c r="H808" s="7"/>
      <c r="I808" s="7"/>
      <c r="J808" s="14"/>
      <c r="K808" s="14"/>
      <c r="L808" s="110"/>
      <c r="M808" s="7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7"/>
      <c r="C809" s="7"/>
      <c r="D809" s="2"/>
      <c r="E809" s="24"/>
      <c r="F809" s="24"/>
      <c r="G809" s="24"/>
      <c r="H809" s="7"/>
      <c r="I809" s="7"/>
      <c r="J809" s="14"/>
      <c r="K809" s="14"/>
      <c r="L809" s="110"/>
      <c r="M809" s="7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7"/>
      <c r="C810" s="7"/>
      <c r="D810" s="2"/>
      <c r="E810" s="24"/>
      <c r="F810" s="24"/>
      <c r="G810" s="24"/>
      <c r="H810" s="7"/>
      <c r="I810" s="7"/>
      <c r="J810" s="14"/>
      <c r="K810" s="14"/>
      <c r="L810" s="110"/>
      <c r="M810" s="7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7"/>
      <c r="C811" s="7"/>
      <c r="D811" s="2"/>
      <c r="E811" s="24"/>
      <c r="F811" s="24"/>
      <c r="G811" s="24"/>
      <c r="H811" s="7"/>
      <c r="I811" s="7"/>
      <c r="J811" s="14"/>
      <c r="K811" s="14"/>
      <c r="L811" s="110"/>
      <c r="M811" s="7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7"/>
      <c r="C812" s="7"/>
      <c r="D812" s="2"/>
      <c r="E812" s="24"/>
      <c r="F812" s="24"/>
      <c r="G812" s="24"/>
      <c r="H812" s="7"/>
      <c r="I812" s="7"/>
      <c r="J812" s="14"/>
      <c r="K812" s="14"/>
      <c r="L812" s="110"/>
      <c r="M812" s="7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7"/>
      <c r="C813" s="7"/>
      <c r="D813" s="2"/>
      <c r="E813" s="24"/>
      <c r="F813" s="24"/>
      <c r="G813" s="24"/>
      <c r="H813" s="7"/>
      <c r="I813" s="7"/>
      <c r="J813" s="14"/>
      <c r="K813" s="14"/>
      <c r="L813" s="110"/>
      <c r="M813" s="7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7"/>
      <c r="C814" s="7"/>
      <c r="D814" s="2"/>
      <c r="E814" s="24"/>
      <c r="F814" s="24"/>
      <c r="G814" s="24"/>
      <c r="H814" s="7"/>
      <c r="I814" s="7"/>
      <c r="J814" s="14"/>
      <c r="K814" s="14"/>
      <c r="L814" s="110"/>
      <c r="M814" s="7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7"/>
      <c r="C815" s="7"/>
      <c r="D815" s="2"/>
      <c r="E815" s="24"/>
      <c r="F815" s="24"/>
      <c r="G815" s="24"/>
      <c r="H815" s="7"/>
      <c r="I815" s="7"/>
      <c r="J815" s="14"/>
      <c r="K815" s="14"/>
      <c r="L815" s="110"/>
      <c r="M815" s="7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7"/>
      <c r="C816" s="7"/>
      <c r="D816" s="2"/>
      <c r="E816" s="24"/>
      <c r="F816" s="24"/>
      <c r="G816" s="24"/>
      <c r="H816" s="7"/>
      <c r="I816" s="7"/>
      <c r="J816" s="14"/>
      <c r="K816" s="14"/>
      <c r="L816" s="110"/>
      <c r="M816" s="7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7"/>
      <c r="C817" s="7"/>
      <c r="D817" s="2"/>
      <c r="E817" s="24"/>
      <c r="F817" s="24"/>
      <c r="G817" s="24"/>
      <c r="H817" s="7"/>
      <c r="I817" s="7"/>
      <c r="J817" s="14"/>
      <c r="K817" s="14"/>
      <c r="L817" s="110"/>
      <c r="M817" s="7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7"/>
      <c r="C818" s="7"/>
      <c r="D818" s="2"/>
      <c r="E818" s="24"/>
      <c r="F818" s="24"/>
      <c r="G818" s="24"/>
      <c r="H818" s="7"/>
      <c r="I818" s="7"/>
      <c r="J818" s="14"/>
      <c r="K818" s="14"/>
      <c r="L818" s="110"/>
      <c r="M818" s="7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7"/>
      <c r="C819" s="7"/>
      <c r="D819" s="2"/>
      <c r="E819" s="24"/>
      <c r="F819" s="24"/>
      <c r="G819" s="24"/>
      <c r="H819" s="7"/>
      <c r="I819" s="7"/>
      <c r="J819" s="14"/>
      <c r="K819" s="14"/>
      <c r="L819" s="110"/>
      <c r="M819" s="7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7"/>
      <c r="C820" s="7"/>
      <c r="D820" s="2"/>
      <c r="E820" s="24"/>
      <c r="F820" s="24"/>
      <c r="G820" s="24"/>
      <c r="H820" s="7"/>
      <c r="I820" s="7"/>
      <c r="J820" s="14"/>
      <c r="K820" s="14"/>
      <c r="L820" s="110"/>
      <c r="M820" s="7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7"/>
      <c r="C821" s="7"/>
      <c r="D821" s="2"/>
      <c r="E821" s="24"/>
      <c r="F821" s="24"/>
      <c r="G821" s="24"/>
      <c r="H821" s="7"/>
      <c r="I821" s="7"/>
      <c r="J821" s="14"/>
      <c r="K821" s="14"/>
      <c r="L821" s="110"/>
      <c r="M821" s="7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7"/>
      <c r="C822" s="7"/>
      <c r="D822" s="2"/>
      <c r="E822" s="24"/>
      <c r="F822" s="24"/>
      <c r="G822" s="24"/>
      <c r="H822" s="7"/>
      <c r="I822" s="7"/>
      <c r="J822" s="14"/>
      <c r="K822" s="14"/>
      <c r="L822" s="110"/>
      <c r="M822" s="7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7"/>
      <c r="C823" s="7"/>
      <c r="D823" s="2"/>
      <c r="E823" s="24"/>
      <c r="F823" s="24"/>
      <c r="G823" s="24"/>
      <c r="H823" s="7"/>
      <c r="I823" s="7"/>
      <c r="J823" s="14"/>
      <c r="K823" s="14"/>
      <c r="L823" s="110"/>
      <c r="M823" s="7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7"/>
      <c r="C824" s="7"/>
      <c r="D824" s="2"/>
      <c r="E824" s="24"/>
      <c r="F824" s="24"/>
      <c r="G824" s="24"/>
      <c r="H824" s="7"/>
      <c r="I824" s="7"/>
      <c r="J824" s="14"/>
      <c r="K824" s="14"/>
      <c r="L824" s="110"/>
      <c r="M824" s="7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7"/>
      <c r="C825" s="7"/>
      <c r="D825" s="2"/>
      <c r="E825" s="24"/>
      <c r="F825" s="24"/>
      <c r="G825" s="24"/>
      <c r="H825" s="7"/>
      <c r="I825" s="7"/>
      <c r="J825" s="14"/>
      <c r="K825" s="14"/>
      <c r="L825" s="110"/>
      <c r="M825" s="7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7"/>
      <c r="C826" s="7"/>
      <c r="D826" s="2"/>
      <c r="E826" s="24"/>
      <c r="F826" s="24"/>
      <c r="G826" s="24"/>
      <c r="H826" s="7"/>
      <c r="I826" s="7"/>
      <c r="J826" s="14"/>
      <c r="K826" s="14"/>
      <c r="L826" s="110"/>
      <c r="M826" s="7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7"/>
      <c r="C827" s="7"/>
      <c r="D827" s="2"/>
      <c r="E827" s="24"/>
      <c r="F827" s="24"/>
      <c r="G827" s="24"/>
      <c r="H827" s="7"/>
      <c r="I827" s="7"/>
      <c r="J827" s="14"/>
      <c r="K827" s="14"/>
      <c r="L827" s="110"/>
      <c r="M827" s="7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7"/>
      <c r="C828" s="7"/>
      <c r="D828" s="2"/>
      <c r="E828" s="24"/>
      <c r="F828" s="24"/>
      <c r="G828" s="24"/>
      <c r="H828" s="7"/>
      <c r="I828" s="7"/>
      <c r="J828" s="14"/>
      <c r="K828" s="14"/>
      <c r="L828" s="110"/>
      <c r="M828" s="7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7"/>
      <c r="C829" s="7"/>
      <c r="D829" s="2"/>
      <c r="E829" s="24"/>
      <c r="F829" s="24"/>
      <c r="G829" s="24"/>
      <c r="H829" s="7"/>
      <c r="I829" s="7"/>
      <c r="J829" s="14"/>
      <c r="K829" s="14"/>
      <c r="L829" s="110"/>
      <c r="M829" s="7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7"/>
      <c r="C830" s="7"/>
      <c r="D830" s="2"/>
      <c r="E830" s="24"/>
      <c r="F830" s="24"/>
      <c r="G830" s="24"/>
      <c r="H830" s="7"/>
      <c r="I830" s="7"/>
      <c r="J830" s="14"/>
      <c r="K830" s="14"/>
      <c r="L830" s="110"/>
      <c r="M830" s="7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7"/>
      <c r="C831" s="7"/>
      <c r="D831" s="2"/>
      <c r="E831" s="24"/>
      <c r="F831" s="24"/>
      <c r="G831" s="24"/>
      <c r="H831" s="7"/>
      <c r="I831" s="7"/>
      <c r="J831" s="14"/>
      <c r="K831" s="14"/>
      <c r="L831" s="110"/>
      <c r="M831" s="7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7"/>
      <c r="C832" s="7"/>
      <c r="D832" s="2"/>
      <c r="E832" s="24"/>
      <c r="F832" s="24"/>
      <c r="G832" s="24"/>
      <c r="H832" s="7"/>
      <c r="I832" s="7"/>
      <c r="J832" s="14"/>
      <c r="K832" s="14"/>
      <c r="L832" s="110"/>
      <c r="M832" s="7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7"/>
      <c r="C833" s="7"/>
      <c r="D833" s="2"/>
      <c r="E833" s="24"/>
      <c r="F833" s="24"/>
      <c r="G833" s="24"/>
      <c r="H833" s="7"/>
      <c r="I833" s="7"/>
      <c r="J833" s="14"/>
      <c r="K833" s="14"/>
      <c r="L833" s="110"/>
      <c r="M833" s="7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7"/>
      <c r="C834" s="7"/>
      <c r="D834" s="2"/>
      <c r="E834" s="24"/>
      <c r="F834" s="24"/>
      <c r="G834" s="24"/>
      <c r="H834" s="7"/>
      <c r="I834" s="7"/>
      <c r="J834" s="14"/>
      <c r="K834" s="14"/>
      <c r="L834" s="110"/>
      <c r="M834" s="7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7"/>
      <c r="C835" s="7"/>
      <c r="D835" s="2"/>
      <c r="E835" s="24"/>
      <c r="F835" s="24"/>
      <c r="G835" s="24"/>
      <c r="H835" s="7"/>
      <c r="I835" s="7"/>
      <c r="J835" s="14"/>
      <c r="K835" s="14"/>
      <c r="L835" s="110"/>
      <c r="M835" s="7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7"/>
      <c r="C836" s="7"/>
      <c r="D836" s="2"/>
      <c r="E836" s="24"/>
      <c r="F836" s="24"/>
      <c r="G836" s="24"/>
      <c r="H836" s="7"/>
      <c r="I836" s="7"/>
      <c r="J836" s="14"/>
      <c r="K836" s="14"/>
      <c r="L836" s="110"/>
      <c r="M836" s="7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7"/>
      <c r="C837" s="7"/>
      <c r="D837" s="2"/>
      <c r="E837" s="24"/>
      <c r="F837" s="24"/>
      <c r="G837" s="24"/>
      <c r="H837" s="7"/>
      <c r="I837" s="7"/>
      <c r="J837" s="14"/>
      <c r="K837" s="14"/>
      <c r="L837" s="110"/>
      <c r="M837" s="7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7"/>
      <c r="C838" s="7"/>
      <c r="D838" s="2"/>
      <c r="E838" s="24"/>
      <c r="F838" s="24"/>
      <c r="G838" s="24"/>
      <c r="H838" s="7"/>
      <c r="I838" s="7"/>
      <c r="J838" s="14"/>
      <c r="K838" s="14"/>
      <c r="L838" s="110"/>
      <c r="M838" s="7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7"/>
      <c r="C839" s="7"/>
      <c r="D839" s="2"/>
      <c r="E839" s="24"/>
      <c r="F839" s="24"/>
      <c r="G839" s="24"/>
      <c r="H839" s="7"/>
      <c r="I839" s="7"/>
      <c r="J839" s="14"/>
      <c r="K839" s="14"/>
      <c r="L839" s="110"/>
      <c r="M839" s="7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7"/>
      <c r="C840" s="7"/>
      <c r="D840" s="2"/>
      <c r="E840" s="24"/>
      <c r="F840" s="24"/>
      <c r="G840" s="24"/>
      <c r="H840" s="7"/>
      <c r="I840" s="7"/>
      <c r="J840" s="14"/>
      <c r="K840" s="14"/>
      <c r="L840" s="110"/>
      <c r="M840" s="7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7"/>
      <c r="C841" s="7"/>
      <c r="D841" s="2"/>
      <c r="E841" s="24"/>
      <c r="F841" s="24"/>
      <c r="G841" s="24"/>
      <c r="H841" s="7"/>
      <c r="I841" s="7"/>
      <c r="J841" s="14"/>
      <c r="K841" s="14"/>
      <c r="L841" s="110"/>
      <c r="M841" s="7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7"/>
      <c r="C842" s="7"/>
      <c r="D842" s="2"/>
      <c r="E842" s="24"/>
      <c r="F842" s="24"/>
      <c r="G842" s="24"/>
      <c r="H842" s="7"/>
      <c r="I842" s="7"/>
      <c r="J842" s="14"/>
      <c r="K842" s="14"/>
      <c r="L842" s="110"/>
      <c r="M842" s="7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7"/>
      <c r="C843" s="7"/>
      <c r="D843" s="2"/>
      <c r="E843" s="24"/>
      <c r="F843" s="24"/>
      <c r="G843" s="24"/>
      <c r="H843" s="7"/>
      <c r="I843" s="7"/>
      <c r="J843" s="14"/>
      <c r="K843" s="14"/>
      <c r="L843" s="110"/>
      <c r="M843" s="7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7"/>
      <c r="C844" s="7"/>
      <c r="D844" s="2"/>
      <c r="E844" s="24"/>
      <c r="F844" s="24"/>
      <c r="G844" s="24"/>
      <c r="H844" s="7"/>
      <c r="I844" s="7"/>
      <c r="J844" s="14"/>
      <c r="K844" s="14"/>
      <c r="L844" s="110"/>
      <c r="M844" s="7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7"/>
      <c r="C845" s="7"/>
      <c r="D845" s="2"/>
      <c r="E845" s="24"/>
      <c r="F845" s="24"/>
      <c r="G845" s="24"/>
      <c r="H845" s="7"/>
      <c r="I845" s="7"/>
      <c r="J845" s="14"/>
      <c r="K845" s="14"/>
      <c r="L845" s="110"/>
      <c r="M845" s="7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7"/>
      <c r="C846" s="7"/>
      <c r="D846" s="2"/>
      <c r="E846" s="24"/>
      <c r="F846" s="24"/>
      <c r="G846" s="24"/>
      <c r="H846" s="7"/>
      <c r="I846" s="7"/>
      <c r="J846" s="14"/>
      <c r="K846" s="14"/>
      <c r="L846" s="110"/>
      <c r="M846" s="7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7"/>
      <c r="C847" s="7"/>
      <c r="D847" s="2"/>
      <c r="E847" s="24"/>
      <c r="F847" s="24"/>
      <c r="G847" s="24"/>
      <c r="H847" s="7"/>
      <c r="I847" s="7"/>
      <c r="J847" s="14"/>
      <c r="K847" s="14"/>
      <c r="L847" s="110"/>
      <c r="M847" s="7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7"/>
      <c r="C848" s="7"/>
      <c r="D848" s="2"/>
      <c r="E848" s="24"/>
      <c r="F848" s="24"/>
      <c r="G848" s="24"/>
      <c r="H848" s="7"/>
      <c r="I848" s="7"/>
      <c r="J848" s="14"/>
      <c r="K848" s="14"/>
      <c r="L848" s="110"/>
      <c r="M848" s="7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7"/>
      <c r="C849" s="7"/>
      <c r="D849" s="2"/>
      <c r="E849" s="24"/>
      <c r="F849" s="24"/>
      <c r="G849" s="24"/>
      <c r="H849" s="7"/>
      <c r="I849" s="7"/>
      <c r="J849" s="14"/>
      <c r="K849" s="14"/>
      <c r="L849" s="110"/>
      <c r="M849" s="7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7"/>
      <c r="C850" s="7"/>
      <c r="D850" s="2"/>
      <c r="E850" s="24"/>
      <c r="F850" s="24"/>
      <c r="G850" s="24"/>
      <c r="H850" s="7"/>
      <c r="I850" s="7"/>
      <c r="J850" s="14"/>
      <c r="K850" s="14"/>
      <c r="L850" s="110"/>
      <c r="M850" s="7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7"/>
      <c r="C851" s="7"/>
      <c r="D851" s="2"/>
      <c r="E851" s="24"/>
      <c r="F851" s="24"/>
      <c r="G851" s="24"/>
      <c r="H851" s="7"/>
      <c r="I851" s="7"/>
      <c r="J851" s="14"/>
      <c r="K851" s="14"/>
      <c r="L851" s="110"/>
      <c r="M851" s="7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7"/>
      <c r="C852" s="7"/>
      <c r="D852" s="2"/>
      <c r="E852" s="24"/>
      <c r="F852" s="24"/>
      <c r="G852" s="24"/>
      <c r="H852" s="7"/>
      <c r="I852" s="7"/>
      <c r="J852" s="14"/>
      <c r="K852" s="14"/>
      <c r="L852" s="110"/>
      <c r="M852" s="7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7"/>
      <c r="C853" s="7"/>
      <c r="D853" s="2"/>
      <c r="E853" s="24"/>
      <c r="F853" s="24"/>
      <c r="G853" s="24"/>
      <c r="H853" s="7"/>
      <c r="I853" s="7"/>
      <c r="J853" s="14"/>
      <c r="K853" s="14"/>
      <c r="L853" s="110"/>
      <c r="M853" s="7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7"/>
      <c r="C854" s="7"/>
      <c r="D854" s="2"/>
      <c r="E854" s="24"/>
      <c r="F854" s="24"/>
      <c r="G854" s="24"/>
      <c r="H854" s="7"/>
      <c r="I854" s="7"/>
      <c r="J854" s="14"/>
      <c r="K854" s="14"/>
      <c r="L854" s="110"/>
      <c r="M854" s="7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7"/>
      <c r="C855" s="7"/>
      <c r="D855" s="2"/>
      <c r="E855" s="24"/>
      <c r="F855" s="24"/>
      <c r="G855" s="24"/>
      <c r="H855" s="7"/>
      <c r="I855" s="7"/>
      <c r="J855" s="14"/>
      <c r="K855" s="14"/>
      <c r="L855" s="110"/>
      <c r="M855" s="7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7"/>
      <c r="C856" s="7"/>
      <c r="D856" s="2"/>
      <c r="E856" s="24"/>
      <c r="F856" s="24"/>
      <c r="G856" s="24"/>
      <c r="H856" s="7"/>
      <c r="I856" s="7"/>
      <c r="J856" s="14"/>
      <c r="K856" s="14"/>
      <c r="L856" s="110"/>
      <c r="M856" s="7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7"/>
      <c r="C857" s="7"/>
      <c r="D857" s="2"/>
      <c r="E857" s="24"/>
      <c r="F857" s="24"/>
      <c r="G857" s="24"/>
      <c r="H857" s="7"/>
      <c r="I857" s="7"/>
      <c r="J857" s="14"/>
      <c r="K857" s="14"/>
      <c r="L857" s="110"/>
      <c r="M857" s="7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7"/>
      <c r="C858" s="7"/>
      <c r="D858" s="2"/>
      <c r="E858" s="24"/>
      <c r="F858" s="24"/>
      <c r="G858" s="24"/>
      <c r="H858" s="7"/>
      <c r="I858" s="7"/>
      <c r="J858" s="14"/>
      <c r="K858" s="14"/>
      <c r="L858" s="110"/>
      <c r="M858" s="7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7"/>
      <c r="C859" s="7"/>
      <c r="D859" s="2"/>
      <c r="E859" s="24"/>
      <c r="F859" s="24"/>
      <c r="G859" s="24"/>
      <c r="H859" s="7"/>
      <c r="I859" s="7"/>
      <c r="J859" s="14"/>
      <c r="K859" s="14"/>
      <c r="L859" s="110"/>
      <c r="M859" s="7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7"/>
      <c r="C860" s="7"/>
      <c r="D860" s="2"/>
      <c r="E860" s="24"/>
      <c r="F860" s="24"/>
      <c r="G860" s="24"/>
      <c r="H860" s="7"/>
      <c r="I860" s="7"/>
      <c r="J860" s="14"/>
      <c r="K860" s="14"/>
      <c r="L860" s="110"/>
      <c r="M860" s="7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7"/>
      <c r="C861" s="7"/>
      <c r="D861" s="2"/>
      <c r="E861" s="24"/>
      <c r="F861" s="24"/>
      <c r="G861" s="24"/>
      <c r="H861" s="7"/>
      <c r="I861" s="7"/>
      <c r="J861" s="14"/>
      <c r="K861" s="14"/>
      <c r="L861" s="110"/>
      <c r="M861" s="7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7"/>
      <c r="C862" s="7"/>
      <c r="D862" s="2"/>
      <c r="E862" s="24"/>
      <c r="F862" s="24"/>
      <c r="G862" s="24"/>
      <c r="H862" s="7"/>
      <c r="I862" s="7"/>
      <c r="J862" s="14"/>
      <c r="K862" s="14"/>
      <c r="L862" s="110"/>
      <c r="M862" s="7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7"/>
      <c r="C863" s="7"/>
      <c r="D863" s="2"/>
      <c r="E863" s="24"/>
      <c r="F863" s="24"/>
      <c r="G863" s="24"/>
      <c r="H863" s="7"/>
      <c r="I863" s="7"/>
      <c r="J863" s="14"/>
      <c r="K863" s="14"/>
      <c r="L863" s="110"/>
      <c r="M863" s="7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7"/>
      <c r="C864" s="7"/>
      <c r="D864" s="2"/>
      <c r="E864" s="24"/>
      <c r="F864" s="24"/>
      <c r="G864" s="24"/>
      <c r="H864" s="7"/>
      <c r="I864" s="7"/>
      <c r="J864" s="14"/>
      <c r="K864" s="14"/>
      <c r="L864" s="110"/>
      <c r="M864" s="7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7"/>
      <c r="C865" s="7"/>
      <c r="D865" s="2"/>
      <c r="E865" s="24"/>
      <c r="F865" s="24"/>
      <c r="G865" s="24"/>
      <c r="H865" s="7"/>
      <c r="I865" s="7"/>
      <c r="J865" s="14"/>
      <c r="K865" s="14"/>
      <c r="L865" s="110"/>
      <c r="M865" s="7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7"/>
      <c r="C866" s="7"/>
      <c r="D866" s="2"/>
      <c r="E866" s="24"/>
      <c r="F866" s="24"/>
      <c r="G866" s="24"/>
      <c r="H866" s="7"/>
      <c r="I866" s="7"/>
      <c r="J866" s="14"/>
      <c r="K866" s="14"/>
      <c r="L866" s="110"/>
      <c r="M866" s="7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7"/>
      <c r="C867" s="7"/>
      <c r="D867" s="2"/>
      <c r="E867" s="24"/>
      <c r="F867" s="24"/>
      <c r="G867" s="24"/>
      <c r="H867" s="7"/>
      <c r="I867" s="7"/>
      <c r="J867" s="14"/>
      <c r="K867" s="14"/>
      <c r="L867" s="110"/>
      <c r="M867" s="7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7"/>
      <c r="C868" s="7"/>
      <c r="D868" s="2"/>
      <c r="E868" s="24"/>
      <c r="F868" s="24"/>
      <c r="G868" s="24"/>
      <c r="H868" s="7"/>
      <c r="I868" s="7"/>
      <c r="J868" s="14"/>
      <c r="K868" s="14"/>
      <c r="L868" s="110"/>
      <c r="M868" s="7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7"/>
      <c r="C869" s="7"/>
      <c r="D869" s="2"/>
      <c r="E869" s="24"/>
      <c r="F869" s="24"/>
      <c r="G869" s="24"/>
      <c r="H869" s="7"/>
      <c r="I869" s="7"/>
      <c r="J869" s="14"/>
      <c r="K869" s="14"/>
      <c r="L869" s="110"/>
      <c r="M869" s="7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7"/>
      <c r="C870" s="7"/>
      <c r="D870" s="2"/>
      <c r="E870" s="24"/>
      <c r="F870" s="24"/>
      <c r="G870" s="24"/>
      <c r="H870" s="7"/>
      <c r="I870" s="7"/>
      <c r="J870" s="14"/>
      <c r="K870" s="14"/>
      <c r="L870" s="110"/>
      <c r="M870" s="7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7"/>
      <c r="C871" s="7"/>
      <c r="D871" s="2"/>
      <c r="E871" s="24"/>
      <c r="F871" s="24"/>
      <c r="G871" s="24"/>
      <c r="H871" s="7"/>
      <c r="I871" s="7"/>
      <c r="J871" s="14"/>
      <c r="K871" s="14"/>
      <c r="L871" s="110"/>
      <c r="M871" s="7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7"/>
      <c r="C872" s="7"/>
      <c r="D872" s="2"/>
      <c r="E872" s="24"/>
      <c r="F872" s="24"/>
      <c r="G872" s="24"/>
      <c r="H872" s="7"/>
      <c r="I872" s="7"/>
      <c r="J872" s="14"/>
      <c r="K872" s="14"/>
      <c r="L872" s="110"/>
      <c r="M872" s="7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7"/>
      <c r="C873" s="7"/>
      <c r="D873" s="2"/>
      <c r="E873" s="24"/>
      <c r="F873" s="24"/>
      <c r="G873" s="24"/>
      <c r="H873" s="7"/>
      <c r="I873" s="7"/>
      <c r="J873" s="14"/>
      <c r="K873" s="14"/>
      <c r="L873" s="110"/>
      <c r="M873" s="7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7"/>
      <c r="C874" s="7"/>
      <c r="D874" s="2"/>
      <c r="E874" s="24"/>
      <c r="F874" s="24"/>
      <c r="G874" s="24"/>
      <c r="H874" s="7"/>
      <c r="I874" s="7"/>
      <c r="J874" s="14"/>
      <c r="K874" s="14"/>
      <c r="L874" s="110"/>
      <c r="M874" s="7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7"/>
      <c r="C875" s="7"/>
      <c r="D875" s="2"/>
      <c r="E875" s="24"/>
      <c r="F875" s="24"/>
      <c r="G875" s="24"/>
      <c r="H875" s="7"/>
      <c r="I875" s="7"/>
      <c r="J875" s="14"/>
      <c r="K875" s="14"/>
      <c r="L875" s="110"/>
      <c r="M875" s="7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7"/>
      <c r="C876" s="7"/>
      <c r="D876" s="2"/>
      <c r="E876" s="24"/>
      <c r="F876" s="24"/>
      <c r="G876" s="24"/>
      <c r="H876" s="7"/>
      <c r="I876" s="7"/>
      <c r="J876" s="14"/>
      <c r="K876" s="14"/>
      <c r="L876" s="110"/>
      <c r="M876" s="7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7"/>
      <c r="C877" s="7"/>
      <c r="D877" s="2"/>
      <c r="E877" s="24"/>
      <c r="F877" s="24"/>
      <c r="G877" s="24"/>
      <c r="H877" s="7"/>
      <c r="I877" s="7"/>
      <c r="J877" s="14"/>
      <c r="K877" s="14"/>
      <c r="L877" s="110"/>
      <c r="M877" s="7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7"/>
      <c r="C878" s="7"/>
      <c r="D878" s="2"/>
      <c r="E878" s="24"/>
      <c r="F878" s="24"/>
      <c r="G878" s="24"/>
      <c r="H878" s="7"/>
      <c r="I878" s="7"/>
      <c r="J878" s="14"/>
      <c r="K878" s="14"/>
      <c r="L878" s="110"/>
      <c r="M878" s="7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7"/>
      <c r="C879" s="7"/>
      <c r="D879" s="2"/>
      <c r="E879" s="24"/>
      <c r="F879" s="24"/>
      <c r="G879" s="24"/>
      <c r="H879" s="7"/>
      <c r="I879" s="7"/>
      <c r="J879" s="14"/>
      <c r="K879" s="14"/>
      <c r="L879" s="110"/>
      <c r="M879" s="7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7"/>
      <c r="C880" s="7"/>
      <c r="D880" s="2"/>
      <c r="E880" s="24"/>
      <c r="F880" s="24"/>
      <c r="G880" s="24"/>
      <c r="H880" s="7"/>
      <c r="I880" s="7"/>
      <c r="J880" s="14"/>
      <c r="K880" s="14"/>
      <c r="L880" s="110"/>
      <c r="M880" s="7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7"/>
      <c r="C881" s="7"/>
      <c r="D881" s="2"/>
      <c r="E881" s="24"/>
      <c r="F881" s="24"/>
      <c r="G881" s="24"/>
      <c r="H881" s="7"/>
      <c r="I881" s="7"/>
      <c r="J881" s="14"/>
      <c r="K881" s="14"/>
      <c r="L881" s="110"/>
      <c r="M881" s="7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7"/>
      <c r="C882" s="7"/>
      <c r="D882" s="2"/>
      <c r="E882" s="24"/>
      <c r="F882" s="24"/>
      <c r="G882" s="24"/>
      <c r="H882" s="7"/>
      <c r="I882" s="7"/>
      <c r="J882" s="14"/>
      <c r="K882" s="14"/>
      <c r="L882" s="110"/>
      <c r="M882" s="7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7"/>
      <c r="C883" s="7"/>
      <c r="D883" s="2"/>
      <c r="E883" s="24"/>
      <c r="F883" s="24"/>
      <c r="G883" s="24"/>
      <c r="H883" s="7"/>
      <c r="I883" s="7"/>
      <c r="J883" s="14"/>
      <c r="K883" s="14"/>
      <c r="L883" s="110"/>
      <c r="M883" s="7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7"/>
      <c r="C884" s="7"/>
      <c r="D884" s="2"/>
      <c r="E884" s="24"/>
      <c r="F884" s="24"/>
      <c r="G884" s="24"/>
      <c r="H884" s="7"/>
      <c r="I884" s="7"/>
      <c r="J884" s="14"/>
      <c r="K884" s="14"/>
      <c r="L884" s="110"/>
      <c r="M884" s="7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7"/>
      <c r="C885" s="7"/>
      <c r="D885" s="2"/>
      <c r="E885" s="24"/>
      <c r="F885" s="24"/>
      <c r="G885" s="24"/>
      <c r="H885" s="7"/>
      <c r="I885" s="7"/>
      <c r="J885" s="14"/>
      <c r="K885" s="14"/>
      <c r="L885" s="110"/>
      <c r="M885" s="7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7"/>
      <c r="C886" s="7"/>
      <c r="D886" s="2"/>
      <c r="E886" s="24"/>
      <c r="F886" s="24"/>
      <c r="G886" s="24"/>
      <c r="H886" s="7"/>
      <c r="I886" s="7"/>
      <c r="J886" s="14"/>
      <c r="K886" s="14"/>
      <c r="L886" s="110"/>
      <c r="M886" s="7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7"/>
      <c r="C887" s="7"/>
      <c r="D887" s="2"/>
      <c r="E887" s="24"/>
      <c r="F887" s="24"/>
      <c r="G887" s="24"/>
      <c r="H887" s="7"/>
      <c r="I887" s="7"/>
      <c r="J887" s="14"/>
      <c r="K887" s="14"/>
      <c r="L887" s="110"/>
      <c r="M887" s="7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7"/>
      <c r="C888" s="7"/>
      <c r="D888" s="2"/>
      <c r="E888" s="24"/>
      <c r="F888" s="24"/>
      <c r="G888" s="24"/>
      <c r="H888" s="7"/>
      <c r="I888" s="7"/>
      <c r="J888" s="14"/>
      <c r="K888" s="14"/>
      <c r="L888" s="110"/>
      <c r="M888" s="7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7"/>
      <c r="C889" s="7"/>
      <c r="D889" s="2"/>
      <c r="E889" s="24"/>
      <c r="F889" s="24"/>
      <c r="G889" s="24"/>
      <c r="H889" s="7"/>
      <c r="I889" s="7"/>
      <c r="J889" s="14"/>
      <c r="K889" s="14"/>
      <c r="L889" s="110"/>
      <c r="M889" s="7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7"/>
      <c r="C890" s="7"/>
      <c r="D890" s="2"/>
      <c r="E890" s="24"/>
      <c r="F890" s="24"/>
      <c r="G890" s="24"/>
      <c r="H890" s="7"/>
      <c r="I890" s="7"/>
      <c r="J890" s="14"/>
      <c r="K890" s="14"/>
      <c r="L890" s="110"/>
      <c r="M890" s="7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7"/>
      <c r="C891" s="7"/>
      <c r="D891" s="2"/>
      <c r="E891" s="24"/>
      <c r="F891" s="24"/>
      <c r="G891" s="24"/>
      <c r="H891" s="7"/>
      <c r="I891" s="7"/>
      <c r="J891" s="14"/>
      <c r="K891" s="14"/>
      <c r="L891" s="110"/>
      <c r="M891" s="7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7"/>
      <c r="C892" s="7"/>
      <c r="D892" s="2"/>
      <c r="E892" s="24"/>
      <c r="F892" s="24"/>
      <c r="G892" s="24"/>
      <c r="H892" s="7"/>
      <c r="I892" s="7"/>
      <c r="J892" s="14"/>
      <c r="K892" s="14"/>
      <c r="L892" s="110"/>
      <c r="M892" s="7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7"/>
      <c r="C893" s="7"/>
      <c r="D893" s="2"/>
      <c r="E893" s="24"/>
      <c r="F893" s="24"/>
      <c r="G893" s="24"/>
      <c r="H893" s="7"/>
      <c r="I893" s="7"/>
      <c r="J893" s="14"/>
      <c r="K893" s="14"/>
      <c r="L893" s="110"/>
      <c r="M893" s="7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7"/>
      <c r="C894" s="7"/>
      <c r="D894" s="2"/>
      <c r="E894" s="24"/>
      <c r="F894" s="24"/>
      <c r="G894" s="24"/>
      <c r="H894" s="7"/>
      <c r="I894" s="7"/>
      <c r="J894" s="14"/>
      <c r="K894" s="14"/>
      <c r="L894" s="110"/>
      <c r="M894" s="7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7"/>
      <c r="C895" s="7"/>
      <c r="D895" s="2"/>
      <c r="E895" s="24"/>
      <c r="F895" s="24"/>
      <c r="G895" s="24"/>
      <c r="H895" s="7"/>
      <c r="I895" s="7"/>
      <c r="J895" s="14"/>
      <c r="K895" s="14"/>
      <c r="L895" s="110"/>
      <c r="M895" s="7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7"/>
      <c r="C896" s="7"/>
      <c r="D896" s="2"/>
      <c r="E896" s="24"/>
      <c r="F896" s="24"/>
      <c r="G896" s="24"/>
      <c r="H896" s="7"/>
      <c r="I896" s="7"/>
      <c r="J896" s="14"/>
      <c r="K896" s="14"/>
      <c r="L896" s="110"/>
      <c r="M896" s="7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7"/>
      <c r="C897" s="7"/>
      <c r="D897" s="2"/>
      <c r="E897" s="24"/>
      <c r="F897" s="24"/>
      <c r="G897" s="24"/>
      <c r="H897" s="7"/>
      <c r="I897" s="7"/>
      <c r="J897" s="14"/>
      <c r="K897" s="14"/>
      <c r="L897" s="110"/>
      <c r="M897" s="7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7"/>
      <c r="C898" s="7"/>
      <c r="D898" s="2"/>
      <c r="E898" s="24"/>
      <c r="F898" s="24"/>
      <c r="G898" s="24"/>
      <c r="H898" s="7"/>
      <c r="I898" s="7"/>
      <c r="J898" s="14"/>
      <c r="K898" s="14"/>
      <c r="L898" s="110"/>
      <c r="M898" s="7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7"/>
      <c r="C899" s="7"/>
      <c r="D899" s="2"/>
      <c r="E899" s="24"/>
      <c r="F899" s="24"/>
      <c r="G899" s="24"/>
      <c r="H899" s="7"/>
      <c r="I899" s="7"/>
      <c r="J899" s="14"/>
      <c r="K899" s="14"/>
      <c r="L899" s="110"/>
      <c r="M899" s="7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7"/>
      <c r="C900" s="7"/>
      <c r="D900" s="2"/>
      <c r="E900" s="24"/>
      <c r="F900" s="24"/>
      <c r="G900" s="24"/>
      <c r="H900" s="7"/>
      <c r="I900" s="7"/>
      <c r="J900" s="14"/>
      <c r="K900" s="14"/>
      <c r="L900" s="110"/>
      <c r="M900" s="7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7"/>
      <c r="C901" s="7"/>
      <c r="D901" s="2"/>
      <c r="E901" s="24"/>
      <c r="F901" s="24"/>
      <c r="G901" s="24"/>
      <c r="H901" s="7"/>
      <c r="I901" s="7"/>
      <c r="J901" s="14"/>
      <c r="K901" s="14"/>
      <c r="L901" s="110"/>
      <c r="M901" s="7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7"/>
      <c r="C902" s="7"/>
      <c r="D902" s="2"/>
      <c r="E902" s="24"/>
      <c r="F902" s="24"/>
      <c r="G902" s="24"/>
      <c r="H902" s="7"/>
      <c r="I902" s="7"/>
      <c r="J902" s="14"/>
      <c r="K902" s="14"/>
      <c r="L902" s="110"/>
      <c r="M902" s="7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7"/>
      <c r="C903" s="7"/>
      <c r="D903" s="2"/>
      <c r="E903" s="24"/>
      <c r="F903" s="24"/>
      <c r="G903" s="24"/>
      <c r="H903" s="7"/>
      <c r="I903" s="7"/>
      <c r="J903" s="14"/>
      <c r="K903" s="14"/>
      <c r="L903" s="110"/>
      <c r="M903" s="7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7"/>
      <c r="C904" s="7"/>
      <c r="D904" s="2"/>
      <c r="E904" s="24"/>
      <c r="F904" s="24"/>
      <c r="G904" s="24"/>
      <c r="H904" s="7"/>
      <c r="I904" s="7"/>
      <c r="J904" s="14"/>
      <c r="K904" s="14"/>
      <c r="L904" s="110"/>
      <c r="M904" s="7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7"/>
      <c r="C905" s="7"/>
      <c r="D905" s="2"/>
      <c r="E905" s="24"/>
      <c r="F905" s="24"/>
      <c r="G905" s="24"/>
      <c r="H905" s="7"/>
      <c r="I905" s="7"/>
      <c r="J905" s="14"/>
      <c r="K905" s="14"/>
      <c r="L905" s="110"/>
      <c r="M905" s="7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7"/>
      <c r="C906" s="7"/>
      <c r="D906" s="2"/>
      <c r="E906" s="24"/>
      <c r="F906" s="24"/>
      <c r="G906" s="24"/>
      <c r="H906" s="7"/>
      <c r="I906" s="7"/>
      <c r="J906" s="14"/>
      <c r="K906" s="14"/>
      <c r="L906" s="110"/>
      <c r="M906" s="7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7"/>
      <c r="C907" s="7"/>
      <c r="D907" s="2"/>
      <c r="E907" s="24"/>
      <c r="F907" s="24"/>
      <c r="G907" s="24"/>
      <c r="H907" s="7"/>
      <c r="I907" s="7"/>
      <c r="J907" s="14"/>
      <c r="K907" s="14"/>
      <c r="L907" s="110"/>
      <c r="M907" s="7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7"/>
      <c r="C908" s="7"/>
      <c r="D908" s="2"/>
      <c r="E908" s="24"/>
      <c r="F908" s="24"/>
      <c r="G908" s="24"/>
      <c r="H908" s="7"/>
      <c r="I908" s="7"/>
      <c r="J908" s="14"/>
      <c r="K908" s="14"/>
      <c r="L908" s="110"/>
      <c r="M908" s="7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7"/>
      <c r="C909" s="7"/>
      <c r="D909" s="2"/>
      <c r="E909" s="24"/>
      <c r="F909" s="24"/>
      <c r="G909" s="24"/>
      <c r="H909" s="7"/>
      <c r="I909" s="7"/>
      <c r="J909" s="14"/>
      <c r="K909" s="14"/>
      <c r="L909" s="110"/>
      <c r="M909" s="7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7"/>
      <c r="C910" s="7"/>
      <c r="D910" s="2"/>
      <c r="E910" s="24"/>
      <c r="F910" s="24"/>
      <c r="G910" s="24"/>
      <c r="H910" s="7"/>
      <c r="I910" s="7"/>
      <c r="J910" s="14"/>
      <c r="K910" s="14"/>
      <c r="L910" s="110"/>
      <c r="M910" s="7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7"/>
      <c r="C911" s="7"/>
      <c r="D911" s="2"/>
      <c r="E911" s="24"/>
      <c r="F911" s="24"/>
      <c r="G911" s="24"/>
      <c r="H911" s="7"/>
      <c r="I911" s="7"/>
      <c r="J911" s="14"/>
      <c r="K911" s="14"/>
      <c r="L911" s="110"/>
      <c r="M911" s="7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7"/>
      <c r="C912" s="7"/>
      <c r="D912" s="2"/>
      <c r="E912" s="24"/>
      <c r="F912" s="24"/>
      <c r="G912" s="24"/>
      <c r="H912" s="7"/>
      <c r="I912" s="7"/>
      <c r="J912" s="14"/>
      <c r="K912" s="14"/>
      <c r="L912" s="110"/>
      <c r="M912" s="7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7"/>
      <c r="C913" s="7"/>
      <c r="D913" s="2"/>
      <c r="E913" s="24"/>
      <c r="F913" s="24"/>
      <c r="G913" s="24"/>
      <c r="H913" s="7"/>
      <c r="I913" s="7"/>
      <c r="J913" s="14"/>
      <c r="K913" s="14"/>
      <c r="L913" s="110"/>
      <c r="M913" s="7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7"/>
      <c r="C914" s="7"/>
      <c r="D914" s="2"/>
      <c r="E914" s="24"/>
      <c r="F914" s="24"/>
      <c r="G914" s="24"/>
      <c r="H914" s="7"/>
      <c r="I914" s="7"/>
      <c r="J914" s="14"/>
      <c r="K914" s="14"/>
      <c r="L914" s="110"/>
      <c r="M914" s="7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7"/>
      <c r="C915" s="7"/>
      <c r="D915" s="2"/>
      <c r="E915" s="24"/>
      <c r="F915" s="24"/>
      <c r="G915" s="24"/>
      <c r="H915" s="7"/>
      <c r="I915" s="7"/>
      <c r="J915" s="14"/>
      <c r="K915" s="14"/>
      <c r="L915" s="110"/>
      <c r="M915" s="7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7"/>
      <c r="C916" s="7"/>
      <c r="D916" s="2"/>
      <c r="E916" s="24"/>
      <c r="F916" s="24"/>
      <c r="G916" s="24"/>
      <c r="H916" s="7"/>
      <c r="I916" s="7"/>
      <c r="J916" s="14"/>
      <c r="K916" s="14"/>
      <c r="L916" s="110"/>
      <c r="M916" s="7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7"/>
      <c r="C917" s="7"/>
      <c r="D917" s="2"/>
      <c r="E917" s="24"/>
      <c r="F917" s="24"/>
      <c r="G917" s="24"/>
      <c r="H917" s="7"/>
      <c r="I917" s="7"/>
      <c r="J917" s="14"/>
      <c r="K917" s="14"/>
      <c r="L917" s="110"/>
      <c r="M917" s="7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7"/>
      <c r="C918" s="7"/>
      <c r="D918" s="2"/>
      <c r="E918" s="24"/>
      <c r="F918" s="24"/>
      <c r="G918" s="24"/>
      <c r="H918" s="7"/>
      <c r="I918" s="7"/>
      <c r="J918" s="14"/>
      <c r="K918" s="14"/>
      <c r="L918" s="110"/>
      <c r="M918" s="7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7"/>
      <c r="C919" s="7"/>
      <c r="D919" s="2"/>
      <c r="E919" s="24"/>
      <c r="F919" s="24"/>
      <c r="G919" s="24"/>
      <c r="H919" s="7"/>
      <c r="I919" s="7"/>
      <c r="J919" s="14"/>
      <c r="K919" s="14"/>
      <c r="L919" s="110"/>
      <c r="M919" s="7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7"/>
      <c r="C920" s="7"/>
      <c r="D920" s="2"/>
      <c r="E920" s="24"/>
      <c r="F920" s="24"/>
      <c r="G920" s="24"/>
      <c r="H920" s="7"/>
      <c r="I920" s="7"/>
      <c r="J920" s="14"/>
      <c r="K920" s="14"/>
      <c r="L920" s="110"/>
      <c r="M920" s="7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7"/>
      <c r="C921" s="7"/>
      <c r="D921" s="2"/>
      <c r="E921" s="24"/>
      <c r="F921" s="24"/>
      <c r="G921" s="24"/>
      <c r="H921" s="7"/>
      <c r="I921" s="7"/>
      <c r="J921" s="14"/>
      <c r="K921" s="14"/>
      <c r="L921" s="110"/>
      <c r="M921" s="7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7"/>
      <c r="C922" s="7"/>
      <c r="D922" s="2"/>
      <c r="E922" s="24"/>
      <c r="F922" s="24"/>
      <c r="G922" s="24"/>
      <c r="H922" s="7"/>
      <c r="I922" s="7"/>
      <c r="J922" s="14"/>
      <c r="K922" s="14"/>
      <c r="L922" s="110"/>
      <c r="M922" s="7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7"/>
      <c r="C923" s="7"/>
      <c r="D923" s="2"/>
      <c r="E923" s="24"/>
      <c r="F923" s="24"/>
      <c r="G923" s="24"/>
      <c r="H923" s="7"/>
      <c r="I923" s="7"/>
      <c r="J923" s="14"/>
      <c r="K923" s="14"/>
      <c r="L923" s="110"/>
      <c r="M923" s="7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7"/>
      <c r="C924" s="7"/>
      <c r="D924" s="2"/>
      <c r="E924" s="24"/>
      <c r="F924" s="24"/>
      <c r="G924" s="24"/>
      <c r="H924" s="7"/>
      <c r="I924" s="7"/>
      <c r="J924" s="14"/>
      <c r="K924" s="14"/>
      <c r="L924" s="110"/>
      <c r="M924" s="7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7"/>
      <c r="C925" s="7"/>
      <c r="D925" s="2"/>
      <c r="E925" s="24"/>
      <c r="F925" s="24"/>
      <c r="G925" s="24"/>
      <c r="H925" s="7"/>
      <c r="I925" s="7"/>
      <c r="J925" s="14"/>
      <c r="K925" s="14"/>
      <c r="L925" s="110"/>
      <c r="M925" s="7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7"/>
      <c r="C926" s="7"/>
      <c r="D926" s="2"/>
      <c r="E926" s="24"/>
      <c r="F926" s="24"/>
      <c r="G926" s="24"/>
      <c r="H926" s="7"/>
      <c r="I926" s="7"/>
      <c r="J926" s="14"/>
      <c r="K926" s="14"/>
      <c r="L926" s="110"/>
      <c r="M926" s="7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7"/>
      <c r="C927" s="7"/>
      <c r="D927" s="2"/>
      <c r="E927" s="24"/>
      <c r="F927" s="24"/>
      <c r="G927" s="24"/>
      <c r="H927" s="7"/>
      <c r="I927" s="7"/>
      <c r="J927" s="14"/>
      <c r="K927" s="14"/>
      <c r="L927" s="110"/>
      <c r="M927" s="7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7"/>
      <c r="C928" s="7"/>
      <c r="D928" s="2"/>
      <c r="E928" s="24"/>
      <c r="F928" s="24"/>
      <c r="G928" s="24"/>
      <c r="H928" s="7"/>
      <c r="I928" s="7"/>
      <c r="J928" s="14"/>
      <c r="K928" s="14"/>
      <c r="L928" s="110"/>
      <c r="M928" s="7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7"/>
      <c r="C929" s="7"/>
      <c r="D929" s="2"/>
      <c r="E929" s="24"/>
      <c r="F929" s="24"/>
      <c r="G929" s="24"/>
      <c r="H929" s="7"/>
      <c r="I929" s="7"/>
      <c r="J929" s="14"/>
      <c r="K929" s="14"/>
      <c r="L929" s="110"/>
      <c r="M929" s="7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7"/>
      <c r="C930" s="7"/>
      <c r="D930" s="2"/>
      <c r="E930" s="24"/>
      <c r="F930" s="24"/>
      <c r="G930" s="24"/>
      <c r="H930" s="7"/>
      <c r="I930" s="7"/>
      <c r="J930" s="14"/>
      <c r="K930" s="14"/>
      <c r="L930" s="110"/>
      <c r="M930" s="7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7"/>
      <c r="C931" s="7"/>
      <c r="D931" s="2"/>
      <c r="E931" s="24"/>
      <c r="F931" s="24"/>
      <c r="G931" s="24"/>
      <c r="H931" s="7"/>
      <c r="I931" s="7"/>
      <c r="J931" s="14"/>
      <c r="K931" s="14"/>
      <c r="L931" s="110"/>
      <c r="M931" s="7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7"/>
      <c r="C932" s="7"/>
      <c r="D932" s="2"/>
      <c r="E932" s="24"/>
      <c r="F932" s="24"/>
      <c r="G932" s="24"/>
      <c r="H932" s="7"/>
      <c r="I932" s="7"/>
      <c r="J932" s="14"/>
      <c r="K932" s="14"/>
      <c r="L932" s="110"/>
      <c r="M932" s="7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7"/>
      <c r="C933" s="7"/>
      <c r="D933" s="2"/>
      <c r="E933" s="24"/>
      <c r="F933" s="24"/>
      <c r="G933" s="24"/>
      <c r="H933" s="7"/>
      <c r="I933" s="7"/>
      <c r="J933" s="14"/>
      <c r="K933" s="14"/>
      <c r="L933" s="110"/>
      <c r="M933" s="7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7"/>
      <c r="C934" s="7"/>
      <c r="D934" s="2"/>
      <c r="E934" s="24"/>
      <c r="F934" s="24"/>
      <c r="G934" s="24"/>
      <c r="H934" s="7"/>
      <c r="I934" s="7"/>
      <c r="J934" s="14"/>
      <c r="K934" s="14"/>
      <c r="L934" s="110"/>
      <c r="M934" s="7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7"/>
      <c r="C935" s="7"/>
      <c r="D935" s="2"/>
      <c r="E935" s="24"/>
      <c r="F935" s="24"/>
      <c r="G935" s="24"/>
      <c r="H935" s="7"/>
      <c r="I935" s="7"/>
      <c r="J935" s="14"/>
      <c r="K935" s="14"/>
      <c r="L935" s="110"/>
      <c r="M935" s="7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7"/>
      <c r="C936" s="7"/>
      <c r="D936" s="2"/>
      <c r="E936" s="24"/>
      <c r="F936" s="24"/>
      <c r="G936" s="24"/>
      <c r="H936" s="7"/>
      <c r="I936" s="7"/>
      <c r="J936" s="14"/>
      <c r="K936" s="14"/>
      <c r="L936" s="110"/>
      <c r="M936" s="7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7"/>
      <c r="C937" s="7"/>
      <c r="D937" s="2"/>
      <c r="E937" s="24"/>
      <c r="F937" s="24"/>
      <c r="G937" s="24"/>
      <c r="H937" s="7"/>
      <c r="I937" s="7"/>
      <c r="J937" s="14"/>
      <c r="K937" s="14"/>
      <c r="L937" s="110"/>
      <c r="M937" s="7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7"/>
      <c r="C938" s="7"/>
      <c r="D938" s="2"/>
      <c r="E938" s="24"/>
      <c r="F938" s="24"/>
      <c r="G938" s="24"/>
      <c r="H938" s="7"/>
      <c r="I938" s="7"/>
      <c r="J938" s="14"/>
      <c r="K938" s="14"/>
      <c r="L938" s="110"/>
      <c r="M938" s="7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7"/>
      <c r="C939" s="7"/>
      <c r="D939" s="2"/>
      <c r="E939" s="24"/>
      <c r="F939" s="24"/>
      <c r="G939" s="24"/>
      <c r="H939" s="7"/>
      <c r="I939" s="7"/>
      <c r="J939" s="14"/>
      <c r="K939" s="14"/>
      <c r="L939" s="110"/>
      <c r="M939" s="7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7"/>
      <c r="C940" s="7"/>
      <c r="D940" s="2"/>
      <c r="E940" s="24"/>
      <c r="F940" s="24"/>
      <c r="G940" s="24"/>
      <c r="H940" s="7"/>
      <c r="I940" s="7"/>
      <c r="J940" s="14"/>
      <c r="K940" s="14"/>
      <c r="L940" s="110"/>
      <c r="M940" s="7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7"/>
      <c r="C941" s="7"/>
      <c r="D941" s="2"/>
      <c r="E941" s="24"/>
      <c r="F941" s="24"/>
      <c r="G941" s="24"/>
      <c r="H941" s="7"/>
      <c r="I941" s="7"/>
      <c r="J941" s="14"/>
      <c r="K941" s="14"/>
      <c r="L941" s="110"/>
      <c r="M941" s="7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7"/>
      <c r="C942" s="7"/>
      <c r="D942" s="2"/>
      <c r="E942" s="24"/>
      <c r="F942" s="24"/>
      <c r="G942" s="24"/>
      <c r="H942" s="7"/>
      <c r="I942" s="7"/>
      <c r="J942" s="14"/>
      <c r="K942" s="14"/>
      <c r="L942" s="110"/>
      <c r="M942" s="7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7"/>
      <c r="C943" s="7"/>
      <c r="D943" s="2"/>
      <c r="E943" s="24"/>
      <c r="F943" s="24"/>
      <c r="G943" s="24"/>
      <c r="H943" s="7"/>
      <c r="I943" s="7"/>
      <c r="J943" s="14"/>
      <c r="K943" s="14"/>
      <c r="L943" s="110"/>
      <c r="M943" s="7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7"/>
      <c r="C944" s="7"/>
      <c r="D944" s="2"/>
      <c r="E944" s="24"/>
      <c r="F944" s="24"/>
      <c r="G944" s="24"/>
      <c r="H944" s="7"/>
      <c r="I944" s="7"/>
      <c r="J944" s="14"/>
      <c r="K944" s="14"/>
      <c r="L944" s="110"/>
      <c r="M944" s="7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7"/>
      <c r="C945" s="7"/>
      <c r="D945" s="2"/>
      <c r="E945" s="24"/>
      <c r="F945" s="24"/>
      <c r="G945" s="24"/>
      <c r="H945" s="7"/>
      <c r="I945" s="7"/>
      <c r="J945" s="14"/>
      <c r="K945" s="14"/>
      <c r="L945" s="110"/>
      <c r="M945" s="7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7"/>
      <c r="C946" s="7"/>
      <c r="D946" s="2"/>
      <c r="E946" s="24"/>
      <c r="F946" s="24"/>
      <c r="G946" s="24"/>
      <c r="H946" s="7"/>
      <c r="I946" s="7"/>
      <c r="J946" s="14"/>
      <c r="K946" s="14"/>
      <c r="L946" s="110"/>
      <c r="M946" s="7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7"/>
      <c r="C947" s="7"/>
      <c r="D947" s="2"/>
      <c r="E947" s="24"/>
      <c r="F947" s="24"/>
      <c r="G947" s="24"/>
      <c r="H947" s="7"/>
      <c r="I947" s="7"/>
      <c r="J947" s="14"/>
      <c r="K947" s="14"/>
      <c r="L947" s="110"/>
      <c r="M947" s="7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7"/>
      <c r="C948" s="7"/>
      <c r="D948" s="2"/>
      <c r="E948" s="24"/>
      <c r="F948" s="24"/>
      <c r="G948" s="24"/>
      <c r="H948" s="7"/>
      <c r="I948" s="7"/>
      <c r="J948" s="14"/>
      <c r="K948" s="14"/>
      <c r="L948" s="110"/>
      <c r="M948" s="7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7"/>
      <c r="C949" s="7"/>
      <c r="D949" s="2"/>
      <c r="E949" s="24"/>
      <c r="F949" s="24"/>
      <c r="G949" s="24"/>
      <c r="H949" s="7"/>
      <c r="I949" s="7"/>
      <c r="J949" s="14"/>
      <c r="K949" s="14"/>
      <c r="L949" s="110"/>
      <c r="M949" s="7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7"/>
      <c r="C950" s="7"/>
      <c r="D950" s="2"/>
      <c r="E950" s="24"/>
      <c r="F950" s="24"/>
      <c r="G950" s="24"/>
      <c r="H950" s="7"/>
      <c r="I950" s="7"/>
      <c r="J950" s="14"/>
      <c r="K950" s="14"/>
      <c r="L950" s="110"/>
      <c r="M950" s="7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7"/>
      <c r="C951" s="7"/>
      <c r="D951" s="2"/>
      <c r="E951" s="24"/>
      <c r="F951" s="24"/>
      <c r="G951" s="24"/>
      <c r="H951" s="7"/>
      <c r="I951" s="7"/>
      <c r="J951" s="14"/>
      <c r="K951" s="14"/>
      <c r="L951" s="110"/>
      <c r="M951" s="7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7"/>
      <c r="C952" s="7"/>
      <c r="D952" s="2"/>
      <c r="E952" s="24"/>
      <c r="F952" s="24"/>
      <c r="G952" s="24"/>
      <c r="H952" s="7"/>
      <c r="I952" s="7"/>
      <c r="J952" s="14"/>
      <c r="K952" s="14"/>
      <c r="L952" s="110"/>
      <c r="M952" s="7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7"/>
      <c r="C953" s="7"/>
      <c r="D953" s="2"/>
      <c r="E953" s="24"/>
      <c r="F953" s="24"/>
      <c r="G953" s="24"/>
      <c r="H953" s="7"/>
      <c r="I953" s="7"/>
      <c r="J953" s="14"/>
      <c r="K953" s="14"/>
      <c r="L953" s="110"/>
      <c r="M953" s="7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7"/>
      <c r="C954" s="7"/>
      <c r="D954" s="2"/>
      <c r="E954" s="24"/>
      <c r="F954" s="24"/>
      <c r="G954" s="24"/>
      <c r="H954" s="7"/>
      <c r="I954" s="7"/>
      <c r="J954" s="14"/>
      <c r="K954" s="14"/>
      <c r="L954" s="110"/>
      <c r="M954" s="7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7"/>
      <c r="C955" s="7"/>
      <c r="D955" s="2"/>
      <c r="E955" s="24"/>
      <c r="F955" s="24"/>
      <c r="G955" s="24"/>
      <c r="H955" s="7"/>
      <c r="I955" s="7"/>
      <c r="J955" s="14"/>
      <c r="K955" s="14"/>
      <c r="L955" s="110"/>
      <c r="M955" s="7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7"/>
      <c r="C956" s="7"/>
      <c r="D956" s="2"/>
      <c r="E956" s="24"/>
      <c r="F956" s="24"/>
      <c r="G956" s="24"/>
      <c r="H956" s="7"/>
      <c r="I956" s="7"/>
      <c r="J956" s="14"/>
      <c r="K956" s="14"/>
      <c r="L956" s="110"/>
      <c r="M956" s="7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7"/>
      <c r="C957" s="7"/>
      <c r="D957" s="2"/>
      <c r="E957" s="24"/>
      <c r="F957" s="24"/>
      <c r="G957" s="24"/>
      <c r="H957" s="7"/>
      <c r="I957" s="7"/>
      <c r="J957" s="14"/>
      <c r="K957" s="14"/>
      <c r="L957" s="110"/>
      <c r="M957" s="7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7"/>
      <c r="C958" s="7"/>
      <c r="D958" s="2"/>
      <c r="E958" s="24"/>
      <c r="F958" s="24"/>
      <c r="G958" s="24"/>
      <c r="H958" s="7"/>
      <c r="I958" s="7"/>
      <c r="J958" s="14"/>
      <c r="K958" s="14"/>
      <c r="L958" s="110"/>
      <c r="M958" s="7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7"/>
      <c r="C959" s="7"/>
      <c r="D959" s="2"/>
      <c r="E959" s="24"/>
      <c r="F959" s="24"/>
      <c r="G959" s="24"/>
      <c r="H959" s="7"/>
      <c r="I959" s="7"/>
      <c r="J959" s="14"/>
      <c r="K959" s="14"/>
      <c r="L959" s="110"/>
      <c r="M959" s="7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7"/>
      <c r="C960" s="7"/>
      <c r="D960" s="2"/>
      <c r="E960" s="24"/>
      <c r="F960" s="24"/>
      <c r="G960" s="24"/>
      <c r="H960" s="7"/>
      <c r="I960" s="7"/>
      <c r="J960" s="14"/>
      <c r="K960" s="14"/>
      <c r="L960" s="110"/>
      <c r="M960" s="7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7"/>
      <c r="C961" s="7"/>
      <c r="D961" s="2"/>
      <c r="E961" s="24"/>
      <c r="F961" s="24"/>
      <c r="G961" s="24"/>
      <c r="H961" s="7"/>
      <c r="I961" s="7"/>
      <c r="J961" s="14"/>
      <c r="K961" s="14"/>
      <c r="L961" s="110"/>
      <c r="M961" s="7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7"/>
      <c r="C962" s="7"/>
      <c r="D962" s="2"/>
      <c r="E962" s="24"/>
      <c r="F962" s="24"/>
      <c r="G962" s="24"/>
      <c r="H962" s="7"/>
      <c r="I962" s="7"/>
      <c r="J962" s="14"/>
      <c r="K962" s="14"/>
      <c r="L962" s="110"/>
      <c r="M962" s="7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7"/>
      <c r="C963" s="7"/>
      <c r="D963" s="2"/>
      <c r="E963" s="24"/>
      <c r="F963" s="24"/>
      <c r="G963" s="24"/>
      <c r="H963" s="7"/>
      <c r="I963" s="7"/>
      <c r="J963" s="14"/>
      <c r="K963" s="14"/>
      <c r="L963" s="110"/>
      <c r="M963" s="7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7"/>
      <c r="C964" s="7"/>
      <c r="D964" s="2"/>
      <c r="E964" s="24"/>
      <c r="F964" s="24"/>
      <c r="G964" s="24"/>
      <c r="H964" s="7"/>
      <c r="I964" s="7"/>
      <c r="J964" s="14"/>
      <c r="K964" s="14"/>
      <c r="L964" s="110"/>
      <c r="M964" s="7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7"/>
      <c r="C965" s="7"/>
      <c r="D965" s="2"/>
      <c r="E965" s="24"/>
      <c r="F965" s="24"/>
      <c r="G965" s="24"/>
      <c r="H965" s="7"/>
      <c r="I965" s="7"/>
      <c r="J965" s="14"/>
      <c r="K965" s="14"/>
      <c r="L965" s="110"/>
      <c r="M965" s="7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7"/>
      <c r="C966" s="7"/>
      <c r="D966" s="2"/>
      <c r="E966" s="24"/>
      <c r="F966" s="24"/>
      <c r="G966" s="24"/>
      <c r="H966" s="7"/>
      <c r="I966" s="7"/>
      <c r="J966" s="14"/>
      <c r="K966" s="14"/>
      <c r="L966" s="110"/>
      <c r="M966" s="7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7"/>
      <c r="C967" s="7"/>
      <c r="D967" s="2"/>
      <c r="E967" s="24"/>
      <c r="F967" s="24"/>
      <c r="G967" s="24"/>
      <c r="H967" s="7"/>
      <c r="I967" s="7"/>
      <c r="J967" s="14"/>
      <c r="K967" s="14"/>
      <c r="L967" s="110"/>
      <c r="M967" s="7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7"/>
      <c r="C968" s="7"/>
      <c r="D968" s="2"/>
      <c r="E968" s="24"/>
      <c r="F968" s="24"/>
      <c r="G968" s="24"/>
      <c r="H968" s="7"/>
      <c r="I968" s="7"/>
      <c r="J968" s="14"/>
      <c r="K968" s="14"/>
      <c r="L968" s="110"/>
      <c r="M968" s="7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7"/>
      <c r="C969" s="7"/>
      <c r="D969" s="2"/>
      <c r="E969" s="24"/>
      <c r="F969" s="24"/>
      <c r="G969" s="24"/>
      <c r="H969" s="7"/>
      <c r="I969" s="7"/>
      <c r="J969" s="14"/>
      <c r="K969" s="14"/>
      <c r="L969" s="110"/>
      <c r="M969" s="7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7"/>
      <c r="C970" s="7"/>
      <c r="D970" s="2"/>
      <c r="E970" s="24"/>
      <c r="F970" s="24"/>
      <c r="G970" s="24"/>
      <c r="H970" s="7"/>
      <c r="I970" s="7"/>
      <c r="J970" s="14"/>
      <c r="K970" s="14"/>
      <c r="L970" s="110"/>
      <c r="M970" s="7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7"/>
      <c r="C971" s="7"/>
      <c r="D971" s="2"/>
      <c r="E971" s="24"/>
      <c r="F971" s="24"/>
      <c r="G971" s="24"/>
      <c r="H971" s="7"/>
      <c r="I971" s="7"/>
      <c r="J971" s="14"/>
      <c r="K971" s="14"/>
      <c r="L971" s="110"/>
      <c r="M971" s="7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7"/>
      <c r="C972" s="7"/>
      <c r="D972" s="2"/>
      <c r="E972" s="24"/>
      <c r="F972" s="24"/>
      <c r="G972" s="24"/>
      <c r="H972" s="7"/>
      <c r="I972" s="7"/>
      <c r="J972" s="14"/>
      <c r="K972" s="14"/>
      <c r="L972" s="110"/>
      <c r="M972" s="7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7"/>
      <c r="C973" s="7"/>
      <c r="D973" s="2"/>
      <c r="E973" s="24"/>
      <c r="F973" s="24"/>
      <c r="G973" s="24"/>
      <c r="H973" s="7"/>
      <c r="I973" s="7"/>
      <c r="J973" s="14"/>
      <c r="K973" s="14"/>
      <c r="L973" s="110"/>
      <c r="M973" s="7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7"/>
      <c r="C974" s="7"/>
      <c r="D974" s="2"/>
      <c r="E974" s="24"/>
      <c r="F974" s="24"/>
      <c r="G974" s="24"/>
      <c r="H974" s="7"/>
      <c r="I974" s="7"/>
      <c r="J974" s="14"/>
      <c r="K974" s="14"/>
      <c r="L974" s="110"/>
      <c r="M974" s="7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7"/>
      <c r="C975" s="7"/>
      <c r="D975" s="2"/>
      <c r="E975" s="24"/>
      <c r="F975" s="24"/>
      <c r="G975" s="24"/>
      <c r="H975" s="7"/>
      <c r="I975" s="7"/>
      <c r="J975" s="14"/>
      <c r="K975" s="14"/>
      <c r="L975" s="110"/>
      <c r="M975" s="7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7"/>
      <c r="C976" s="7"/>
      <c r="D976" s="2"/>
      <c r="E976" s="24"/>
      <c r="F976" s="24"/>
      <c r="G976" s="24"/>
      <c r="H976" s="7"/>
      <c r="I976" s="7"/>
      <c r="J976" s="14"/>
      <c r="K976" s="14"/>
      <c r="L976" s="110"/>
      <c r="M976" s="7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7"/>
      <c r="C977" s="7"/>
      <c r="D977" s="2"/>
      <c r="E977" s="24"/>
      <c r="F977" s="24"/>
      <c r="G977" s="24"/>
      <c r="H977" s="7"/>
      <c r="I977" s="7"/>
      <c r="J977" s="14"/>
      <c r="K977" s="14"/>
      <c r="L977" s="110"/>
      <c r="M977" s="7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7"/>
      <c r="C978" s="7"/>
      <c r="D978" s="2"/>
      <c r="E978" s="24"/>
      <c r="F978" s="24"/>
      <c r="G978" s="24"/>
      <c r="H978" s="7"/>
      <c r="I978" s="7"/>
      <c r="J978" s="14"/>
      <c r="K978" s="14"/>
      <c r="L978" s="110"/>
      <c r="M978" s="7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7"/>
      <c r="C979" s="7"/>
      <c r="D979" s="2"/>
      <c r="E979" s="24"/>
      <c r="F979" s="24"/>
      <c r="G979" s="24"/>
      <c r="H979" s="7"/>
      <c r="I979" s="7"/>
      <c r="J979" s="14"/>
      <c r="K979" s="14"/>
      <c r="L979" s="110"/>
      <c r="M979" s="7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7"/>
      <c r="C980" s="7"/>
      <c r="D980" s="2"/>
      <c r="E980" s="24"/>
      <c r="F980" s="24"/>
      <c r="G980" s="24"/>
      <c r="H980" s="7"/>
      <c r="I980" s="7"/>
      <c r="J980" s="14"/>
      <c r="K980" s="14"/>
      <c r="L980" s="110"/>
      <c r="M980" s="7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7"/>
      <c r="C981" s="7"/>
      <c r="D981" s="2"/>
      <c r="E981" s="24"/>
      <c r="F981" s="24"/>
      <c r="G981" s="24"/>
      <c r="H981" s="7"/>
      <c r="I981" s="7"/>
      <c r="J981" s="14"/>
      <c r="K981" s="14"/>
      <c r="L981" s="110"/>
      <c r="M981" s="7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7"/>
      <c r="C982" s="7"/>
      <c r="D982" s="2"/>
      <c r="E982" s="24"/>
      <c r="F982" s="24"/>
      <c r="G982" s="24"/>
      <c r="H982" s="7"/>
      <c r="I982" s="7"/>
      <c r="J982" s="14"/>
      <c r="K982" s="14"/>
      <c r="L982" s="110"/>
      <c r="M982" s="7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7"/>
      <c r="C983" s="7"/>
      <c r="D983" s="2"/>
      <c r="E983" s="24"/>
      <c r="F983" s="24"/>
      <c r="G983" s="24"/>
      <c r="H983" s="7"/>
      <c r="I983" s="7"/>
      <c r="J983" s="14"/>
      <c r="K983" s="14"/>
      <c r="L983" s="110"/>
      <c r="M983" s="7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7"/>
      <c r="C984" s="7"/>
      <c r="D984" s="2"/>
      <c r="E984" s="24"/>
      <c r="F984" s="24"/>
      <c r="G984" s="24"/>
      <c r="H984" s="7"/>
      <c r="I984" s="7"/>
      <c r="J984" s="14"/>
      <c r="K984" s="14"/>
      <c r="L984" s="110"/>
      <c r="M984" s="7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7"/>
      <c r="C985" s="7"/>
      <c r="D985" s="2"/>
      <c r="E985" s="24"/>
      <c r="F985" s="24"/>
      <c r="G985" s="24"/>
      <c r="H985" s="7"/>
      <c r="I985" s="7"/>
      <c r="J985" s="14"/>
      <c r="K985" s="14"/>
      <c r="L985" s="110"/>
      <c r="M985" s="7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7"/>
      <c r="C986" s="7"/>
      <c r="D986" s="2"/>
      <c r="E986" s="24"/>
      <c r="F986" s="24"/>
      <c r="G986" s="24"/>
      <c r="H986" s="7"/>
      <c r="I986" s="7"/>
      <c r="J986" s="14"/>
      <c r="K986" s="14"/>
      <c r="L986" s="110"/>
      <c r="M986" s="7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7"/>
      <c r="C987" s="7"/>
      <c r="D987" s="2"/>
      <c r="E987" s="24"/>
      <c r="F987" s="24"/>
      <c r="G987" s="24"/>
      <c r="H987" s="7"/>
      <c r="I987" s="7"/>
      <c r="J987" s="14"/>
      <c r="K987" s="14"/>
      <c r="L987" s="110"/>
      <c r="M987" s="7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7"/>
      <c r="C988" s="7"/>
      <c r="D988" s="2"/>
      <c r="E988" s="24"/>
      <c r="F988" s="24"/>
      <c r="G988" s="24"/>
      <c r="H988" s="7"/>
      <c r="I988" s="7"/>
      <c r="J988" s="14"/>
      <c r="K988" s="14"/>
      <c r="L988" s="110"/>
      <c r="M988" s="7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7"/>
      <c r="C989" s="7"/>
      <c r="D989" s="2"/>
      <c r="E989" s="24"/>
      <c r="F989" s="24"/>
      <c r="G989" s="24"/>
      <c r="H989" s="7"/>
      <c r="I989" s="7"/>
      <c r="J989" s="14"/>
      <c r="K989" s="14"/>
      <c r="L989" s="110"/>
      <c r="M989" s="7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7"/>
      <c r="C990" s="7"/>
      <c r="D990" s="2"/>
      <c r="E990" s="24"/>
      <c r="F990" s="24"/>
      <c r="G990" s="24"/>
      <c r="H990" s="7"/>
      <c r="I990" s="7"/>
      <c r="J990" s="14"/>
      <c r="K990" s="14"/>
      <c r="L990" s="110"/>
      <c r="M990" s="7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7"/>
      <c r="C991" s="7"/>
      <c r="D991" s="2"/>
      <c r="E991" s="24"/>
      <c r="F991" s="24"/>
      <c r="G991" s="24"/>
      <c r="H991" s="7"/>
      <c r="I991" s="7"/>
      <c r="J991" s="14"/>
      <c r="K991" s="14"/>
      <c r="L991" s="110"/>
      <c r="M991" s="7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7"/>
      <c r="C992" s="7"/>
      <c r="D992" s="2"/>
      <c r="E992" s="24"/>
      <c r="F992" s="24"/>
      <c r="G992" s="24"/>
      <c r="H992" s="7"/>
      <c r="I992" s="7"/>
      <c r="J992" s="14"/>
      <c r="K992" s="14"/>
      <c r="L992" s="110"/>
      <c r="M992" s="7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7"/>
      <c r="C993" s="7"/>
      <c r="D993" s="2"/>
      <c r="E993" s="24"/>
      <c r="F993" s="24"/>
      <c r="G993" s="24"/>
      <c r="H993" s="7"/>
      <c r="I993" s="7"/>
      <c r="J993" s="14"/>
      <c r="K993" s="14"/>
      <c r="L993" s="110"/>
      <c r="M993" s="7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7"/>
      <c r="C994" s="7"/>
      <c r="D994" s="2"/>
      <c r="E994" s="24"/>
      <c r="F994" s="24"/>
      <c r="G994" s="24"/>
      <c r="H994" s="7"/>
      <c r="I994" s="7"/>
      <c r="J994" s="14"/>
      <c r="K994" s="14"/>
      <c r="L994" s="110"/>
      <c r="M994" s="7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7"/>
      <c r="C995" s="7"/>
      <c r="D995" s="2"/>
      <c r="E995" s="24"/>
      <c r="F995" s="24"/>
      <c r="G995" s="24"/>
      <c r="H995" s="7"/>
      <c r="I995" s="7"/>
      <c r="J995" s="14"/>
      <c r="K995" s="14"/>
      <c r="L995" s="110"/>
      <c r="M995" s="7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7"/>
      <c r="C996" s="7"/>
      <c r="D996" s="2"/>
      <c r="E996" s="24"/>
      <c r="F996" s="24"/>
      <c r="G996" s="24"/>
      <c r="H996" s="7"/>
      <c r="I996" s="7"/>
      <c r="J996" s="14"/>
      <c r="K996" s="14"/>
      <c r="L996" s="110"/>
      <c r="M996" s="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7"/>
      <c r="C997" s="7"/>
      <c r="D997" s="2"/>
      <c r="E997" s="24"/>
      <c r="F997" s="24"/>
      <c r="G997" s="24"/>
      <c r="H997" s="7"/>
      <c r="I997" s="7"/>
      <c r="J997" s="14"/>
      <c r="K997" s="14"/>
      <c r="L997" s="110"/>
      <c r="M997" s="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7"/>
      <c r="C998" s="7"/>
      <c r="D998" s="2"/>
      <c r="E998" s="24"/>
      <c r="F998" s="24"/>
      <c r="G998" s="24"/>
      <c r="H998" s="7"/>
      <c r="I998" s="7"/>
      <c r="J998" s="14"/>
      <c r="K998" s="14"/>
      <c r="L998" s="110"/>
      <c r="M998" s="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7"/>
      <c r="C999" s="7"/>
      <c r="D999" s="2"/>
      <c r="E999" s="24"/>
      <c r="F999" s="24"/>
      <c r="G999" s="24"/>
      <c r="H999" s="7"/>
      <c r="I999" s="7"/>
      <c r="J999" s="14"/>
      <c r="K999" s="14"/>
      <c r="L999" s="110"/>
      <c r="M999" s="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7"/>
      <c r="C1000" s="7"/>
      <c r="D1000" s="2"/>
      <c r="E1000" s="24"/>
      <c r="F1000" s="24"/>
      <c r="G1000" s="24"/>
      <c r="H1000" s="7"/>
      <c r="I1000" s="7"/>
      <c r="J1000" s="14"/>
      <c r="K1000" s="14"/>
      <c r="L1000" s="110"/>
      <c r="M1000" s="7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J173:K173"/>
    <mergeCell ref="J97:K97"/>
    <mergeCell ref="H129:I129"/>
    <mergeCell ref="J129:K129"/>
    <mergeCell ref="H140:I140"/>
    <mergeCell ref="J140:K140"/>
    <mergeCell ref="E92:F92"/>
    <mergeCell ref="E93:F93"/>
    <mergeCell ref="H173:I173"/>
    <mergeCell ref="E192:F192"/>
    <mergeCell ref="E193:F193"/>
    <mergeCell ref="H97:I97"/>
    <mergeCell ref="E1:F1"/>
    <mergeCell ref="E2:F2"/>
    <mergeCell ref="E3:F3"/>
    <mergeCell ref="M6:R6"/>
    <mergeCell ref="E91:F91"/>
  </mergeCells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5036812E38B4EA89B2A716D8D032D" ma:contentTypeVersion="16" ma:contentTypeDescription="Create a new document." ma:contentTypeScope="" ma:versionID="8c4b9c73d37b01022db5133beb4a63ec">
  <xsd:schema xmlns:xsd="http://www.w3.org/2001/XMLSchema" xmlns:xs="http://www.w3.org/2001/XMLSchema" xmlns:p="http://schemas.microsoft.com/office/2006/metadata/properties" xmlns:ns2="38471992-dc6a-4a56-97d2-190ae42abade" xmlns:ns3="9ab72e97-4e12-473f-8eae-482cbd75b540" targetNamespace="http://schemas.microsoft.com/office/2006/metadata/properties" ma:root="true" ma:fieldsID="b09c66b776654708f60c1538cd8c434e" ns2:_="" ns3:_="">
    <xsd:import namespace="38471992-dc6a-4a56-97d2-190ae42abade"/>
    <xsd:import namespace="9ab72e97-4e12-473f-8eae-482cbd75b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71992-dc6a-4a56-97d2-190ae42ab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72e97-4e12-473f-8eae-482cbd75b54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50cc03d-d5fa-4597-b4b6-e8fa8f43aa7c}" ma:internalName="TaxCatchAll" ma:showField="CatchAllData" ma:web="9ab72e97-4e12-473f-8eae-482cbd75b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b72e97-4e12-473f-8eae-482cbd75b540" xsi:nil="true"/>
    <lcf76f155ced4ddcb4097134ff3c332f xmlns="38471992-dc6a-4a56-97d2-190ae42aba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D1BDED-5505-41D7-B8AF-014979A382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14C519-71CB-4B64-BF50-4D4817A56A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71992-dc6a-4a56-97d2-190ae42abade"/>
    <ds:schemaRef ds:uri="9ab72e97-4e12-473f-8eae-482cbd75b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4336E-6520-4511-B0EF-95808A4A8B23}">
  <ds:schemaRefs>
    <ds:schemaRef ds:uri="http://schemas.microsoft.com/office/2006/metadata/properties"/>
    <ds:schemaRef ds:uri="http://schemas.microsoft.com/office/infopath/2007/PartnerControls"/>
    <ds:schemaRef ds:uri="9ab72e97-4e12-473f-8eae-482cbd75b540"/>
    <ds:schemaRef ds:uri="38471992-dc6a-4a56-97d2-190ae42aba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CURSOS</vt:lpstr>
      <vt:lpstr>VACANTES</vt:lpstr>
      <vt:lpstr>Hoja1</vt:lpstr>
      <vt:lpstr>CURSOS!Área_de_impresión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Facultad de Economía</dc:creator>
  <cp:keywords/>
  <dc:description/>
  <cp:lastModifiedBy>María Belén Saavedra Illanes</cp:lastModifiedBy>
  <cp:revision/>
  <cp:lastPrinted>2025-12-29T12:55:20Z</cp:lastPrinted>
  <dcterms:created xsi:type="dcterms:W3CDTF">1999-11-11T14:17:49Z</dcterms:created>
  <dcterms:modified xsi:type="dcterms:W3CDTF">2026-02-24T12:17:13Z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0x010100DD05036812E38B4EA89B2A716D8D032D</vt:lpwstr>
  </property>
  <property fmtid="{D5CDD505-2E9C-101B-9397-08002B2CF9AE}" pid="3" name="MediaServiceImageTags">
    <vt:lpwstr/>
  </property>
</Properties>
</file>